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atth\Documents\DrinkAwarenessApp\docs\"/>
    </mc:Choice>
  </mc:AlternateContent>
  <xr:revisionPtr revIDLastSave="0" documentId="8_{019A5747-C2FB-4579-BE93-7D5DB4FF48AC}" xr6:coauthVersionLast="47" xr6:coauthVersionMax="47" xr10:uidLastSave="{00000000-0000-0000-0000-000000000000}"/>
  <bookViews>
    <workbookView xWindow="-108" yWindow="-108" windowWidth="23256" windowHeight="13896" tabRatio="500" xr2:uid="{00000000-000D-0000-FFFF-FFFF00000000}"/>
  </bookViews>
  <sheets>
    <sheet name="Dashboard" sheetId="1" r:id="rId1"/>
    <sheet name="Feature Backlog" sheetId="2" r:id="rId2"/>
    <sheet name="User Stories" sheetId="3" r:id="rId3"/>
    <sheet name="Release Plan" sheetId="4" r:id="rId4"/>
    <sheet name="Prioritisation Guide" sheetId="5" r:id="rId5"/>
    <sheet name="Lists" sheetId="6" r:id="rId6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L53" i="2" l="1"/>
  <c r="L52" i="2"/>
  <c r="L51" i="2"/>
  <c r="L50" i="2"/>
  <c r="L49" i="2"/>
  <c r="L48" i="2"/>
  <c r="L47" i="2"/>
  <c r="L46" i="2"/>
  <c r="L45" i="2"/>
  <c r="L44" i="2"/>
  <c r="L43" i="2"/>
  <c r="L42" i="2"/>
  <c r="L41" i="2"/>
  <c r="L40" i="2"/>
  <c r="L39" i="2"/>
  <c r="L38" i="2"/>
  <c r="L37" i="2"/>
  <c r="L36" i="2"/>
  <c r="L35" i="2"/>
  <c r="L34" i="2"/>
  <c r="L33" i="2"/>
  <c r="L32" i="2"/>
  <c r="L31" i="2"/>
  <c r="L30" i="2"/>
  <c r="L29" i="2"/>
  <c r="L28" i="2"/>
  <c r="L27" i="2"/>
  <c r="L26" i="2"/>
  <c r="L25" i="2"/>
  <c r="L24" i="2"/>
  <c r="L23" i="2"/>
  <c r="L22" i="2"/>
  <c r="L21" i="2"/>
  <c r="L20" i="2"/>
  <c r="L19" i="2"/>
  <c r="L18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I5" i="1"/>
  <c r="G5" i="1"/>
  <c r="E5" i="1"/>
  <c r="C5" i="1"/>
  <c r="A5" i="1"/>
</calcChain>
</file>

<file path=xl/sharedStrings.xml><?xml version="1.0" encoding="utf-8"?>
<sst xmlns="http://schemas.openxmlformats.org/spreadsheetml/2006/main" count="802" uniqueCount="405">
  <si>
    <t>Drink Awareness App — Feature Backlog Dashboard</t>
  </si>
  <si>
    <t>Purpose: Track all MVP and future features with priority, effort, value and status. Updated 18 June 2026 with research findings.</t>
  </si>
  <si>
    <t>Total Items</t>
  </si>
  <si>
    <t>MVP Items</t>
  </si>
  <si>
    <t>Must Have</t>
  </si>
  <si>
    <t>Done</t>
  </si>
  <si>
    <t>Not Started</t>
  </si>
  <si>
    <t>ID</t>
  </si>
  <si>
    <t>Epic</t>
  </si>
  <si>
    <t>Feature / Task</t>
  </si>
  <si>
    <t>MoSCoW</t>
  </si>
  <si>
    <t>Phase</t>
  </si>
  <si>
    <t>Priority Score</t>
  </si>
  <si>
    <t>Added</t>
  </si>
  <si>
    <t>DAA-047</t>
  </si>
  <si>
    <t>Drink Logging</t>
  </si>
  <si>
    <t>Quick-select preset drinks on Log Drink screen</t>
  </si>
  <si>
    <t>Must</t>
  </si>
  <si>
    <t>Core feature build</t>
  </si>
  <si>
    <t>Research 18 Jun 2026</t>
  </si>
  <si>
    <t>DAA-048</t>
  </si>
  <si>
    <t>Revise required fields: drink name and time only</t>
  </si>
  <si>
    <t>DAA-049</t>
  </si>
  <si>
    <t>AI Insights</t>
  </si>
  <si>
    <t>Every insight must show what data it is based on</t>
  </si>
  <si>
    <t>DAA-050</t>
  </si>
  <si>
    <t>App Foundation</t>
  </si>
  <si>
    <t>Local-first, no account required on first launch</t>
  </si>
  <si>
    <t>DAA-005</t>
  </si>
  <si>
    <t>Add non-medical disclaimer</t>
  </si>
  <si>
    <t>Original</t>
  </si>
  <si>
    <t>DAA-018</t>
  </si>
  <si>
    <t>Manual custom drink entry</t>
  </si>
  <si>
    <t>DAA-023</t>
  </si>
  <si>
    <t>Summaries</t>
  </si>
  <si>
    <t>Build daily summary screen</t>
  </si>
  <si>
    <t>DAA-024</t>
  </si>
  <si>
    <t>Build weekly summary screen</t>
  </si>
  <si>
    <t>DAA-028</t>
  </si>
  <si>
    <t>Generate/display basic insight</t>
  </si>
  <si>
    <t>Feature Backlog — 50 items (42 MVP, 8 Future) — Updated 18 June 2026</t>
  </si>
  <si>
    <t>User Need</t>
  </si>
  <si>
    <t>MVP Status</t>
  </si>
  <si>
    <t>Status</t>
  </si>
  <si>
    <t>Effort
(1-5)</t>
  </si>
  <si>
    <t>Value
(1-5)</t>
  </si>
  <si>
    <t>Risk
(1-5)</t>
  </si>
  <si>
    <t>Dependencies</t>
  </si>
  <si>
    <t>Acceptance Criteria</t>
  </si>
  <si>
    <t>Notes</t>
  </si>
  <si>
    <t>DAA-001</t>
  </si>
  <si>
    <t>Confirm technical stack and architecture</t>
  </si>
  <si>
    <t>A maintainable app foundation is needed before development begins.</t>
  </si>
  <si>
    <t>MVP</t>
  </si>
  <si>
    <t>Technical setup</t>
  </si>
  <si>
    <t>Product brief, MVP scope</t>
  </si>
  <si>
    <t>Architecture and core technologies are documented and agreed.</t>
  </si>
  <si>
    <t>Keep cross-platform iOS/Android goal in mind.</t>
  </si>
  <si>
    <t>DAA-002</t>
  </si>
  <si>
    <t>Create mobile app project structure</t>
  </si>
  <si>
    <t>Developers need a clean starting point for implementation.</t>
  </si>
  <si>
    <t>Project builds successfully and includes organised folders/modules.</t>
  </si>
  <si>
    <t>DAA-003</t>
  </si>
  <si>
    <t>Implement core navigation</t>
  </si>
  <si>
    <t>Users need to move between venues, logging, summaries and insights.</t>
  </si>
  <si>
    <t>Main navigation works across all MVP screens.</t>
  </si>
  <si>
    <t>DAA-004</t>
  </si>
  <si>
    <t>Add age 18+ positioning/onboarding notice</t>
  </si>
  <si>
    <t>Users should understand the app is for adults only.</t>
  </si>
  <si>
    <t>Should</t>
  </si>
  <si>
    <t>App clearly states it is intended for adults aged 18+.</t>
  </si>
  <si>
    <t>Responsible design requirement.</t>
  </si>
  <si>
    <t>Users need clear messaging that the app is not medical advice.</t>
  </si>
  <si>
    <t>Disclaimer is visible in onboarding, settings or relevant insight areas.</t>
  </si>
  <si>
    <t>DAA-006</t>
  </si>
  <si>
    <t>Venue Discovery</t>
  </si>
  <si>
    <t>Create sample venue data model</t>
  </si>
  <si>
    <t>The app needs venue data for discovery and details screens.</t>
  </si>
  <si>
    <t>Venue data model supports name, location, description and venue type.</t>
  </si>
  <si>
    <t>Sample data acceptable for MVP.</t>
  </si>
  <si>
    <t>DAA-007</t>
  </si>
  <si>
    <t>Build venue list screen</t>
  </si>
  <si>
    <t>Users need a simple way to browse example venues.</t>
  </si>
  <si>
    <t>Users can view a list of venues with key details.</t>
  </si>
  <si>
    <t>DAA-008</t>
  </si>
  <si>
    <t>Build venue search</t>
  </si>
  <si>
    <t>Users need to quickly find venues by name or category.</t>
  </si>
  <si>
    <t>Users can search/filter venue list using simple text input.</t>
  </si>
  <si>
    <t>DAA-009</t>
  </si>
  <si>
    <t>Add map/list venue discovery view</t>
  </si>
  <si>
    <t>Users may expect a map-based discovery experience.</t>
  </si>
  <si>
    <t>Users can browse venues using a map and/or list interface.</t>
  </si>
  <si>
    <t>Map implementation can be simplified if needed.</t>
  </si>
  <si>
    <t>DAA-010</t>
  </si>
  <si>
    <t>Add basic venue filtering</t>
  </si>
  <si>
    <t>Users may want to filter venue types or distance.</t>
  </si>
  <si>
    <t>Could</t>
  </si>
  <si>
    <t>Polish/testing/iteration</t>
  </si>
  <si>
    <t>Users can apply at least one simple filter to venue results.</t>
  </si>
  <si>
    <t>Could be moved post-MVP.</t>
  </si>
  <si>
    <t>DAA-011</t>
  </si>
  <si>
    <t>Venue Details</t>
  </si>
  <si>
    <t>Build venue details screen</t>
  </si>
  <si>
    <t>Users need more context before logging drinks at a venue.</t>
  </si>
  <si>
    <t>DAA-006, DAA-007</t>
  </si>
  <si>
    <t>Users can open a venue and view name, location, description and drinks.</t>
  </si>
  <si>
    <t>DAA-012</t>
  </si>
  <si>
    <t>Drink Menus</t>
  </si>
  <si>
    <t>Create drink menu data model</t>
  </si>
  <si>
    <t>The app needs drink data for menus and quick logging.</t>
  </si>
  <si>
    <t>Drink menu data supports name, category, size, ABV and price.</t>
  </si>
  <si>
    <t>DAA-013</t>
  </si>
  <si>
    <t>Build drink menu screen</t>
  </si>
  <si>
    <t>Users need to view drink options and prices.</t>
  </si>
  <si>
    <t>DAA-011, DAA-012</t>
  </si>
  <si>
    <t>Users can view example drink menu items for a venue.</t>
  </si>
  <si>
    <t>DAA-014</t>
  </si>
  <si>
    <t>Show drink detail information</t>
  </si>
  <si>
    <t>Users need useful details before logging a drink.</t>
  </si>
  <si>
    <t>Drink item shows name, type, size, ABV and price where available.</t>
  </si>
  <si>
    <t>DAA-015</t>
  </si>
  <si>
    <t>Display prices and ABV clearly</t>
  </si>
  <si>
    <t>Users need to understand cost and alcohol strength.</t>
  </si>
  <si>
    <t>Price and ABV are clearly visible for sample drinks.</t>
  </si>
  <si>
    <t>DAA-016</t>
  </si>
  <si>
    <t>Create drink log data model</t>
  </si>
  <si>
    <t>The app needs stored log entries to calculate summaries.</t>
  </si>
  <si>
    <t>Drink log data supports drink details, date/time and venue.</t>
  </si>
  <si>
    <t>DAA-017</t>
  </si>
  <si>
    <t>Quick log from menu item</t>
  </si>
  <si>
    <t>Users need fast logging during social outings.</t>
  </si>
  <si>
    <t>DAA-013, DAA-016</t>
  </si>
  <si>
    <t>Users can log a drink directly from a menu item.</t>
  </si>
  <si>
    <t>Users need to log drinks that are not in a menu.</t>
  </si>
  <si>
    <t>Users can manually enter drink name, type, size, ABV and price.</t>
  </si>
  <si>
    <t>See DAA-048 for revised required fields from research.</t>
  </si>
  <si>
    <t>DAA-019</t>
  </si>
  <si>
    <t>Calculate UK alcohol units</t>
  </si>
  <si>
    <t>Users need awareness of alcohol quantity, not just drink count.</t>
  </si>
  <si>
    <t>App calculates units from volume and ABV using a consistent formula.</t>
  </si>
  <si>
    <t>Useful portfolio feature.</t>
  </si>
  <si>
    <t>DAA-020</t>
  </si>
  <si>
    <t>Log optional drink price/spend</t>
  </si>
  <si>
    <t>Budget-conscious users need spending visibility.</t>
  </si>
  <si>
    <t>Users can add or confirm a drink price when logging.</t>
  </si>
  <si>
    <t>DAA-021</t>
  </si>
  <si>
    <t>Edit or delete logged drink</t>
  </si>
  <si>
    <t>Users need to fix mistakes in their logs.</t>
  </si>
  <si>
    <t>Users can edit or delete a logged drink entry.</t>
  </si>
  <si>
    <t>DAA-022</t>
  </si>
  <si>
    <t>Add helpful empty states</t>
  </si>
  <si>
    <t>Users need clear guidance when no drinks are logged.</t>
  </si>
  <si>
    <t>DAA-023, DAA-024</t>
  </si>
  <si>
    <t>Empty summary/log screens explain what to do next.</t>
  </si>
  <si>
    <t>Users need short-term awareness of drinks logged today.</t>
  </si>
  <si>
    <t>DAA-016, DAA-019</t>
  </si>
  <si>
    <t>Daily summary shows today's drinks, units and optional spending.</t>
  </si>
  <si>
    <t>Users need pattern awareness across multiple days.</t>
  </si>
  <si>
    <t>Weekly summary shows basic totals and trends for the current week.</t>
  </si>
  <si>
    <t>DAA-025</t>
  </si>
  <si>
    <t>Add basic charts/visual summaries</t>
  </si>
  <si>
    <t>Users may understand patterns better visually.</t>
  </si>
  <si>
    <t>Daily/weekly summaries include a simple chart or visual indicator.</t>
  </si>
  <si>
    <t>DAA-026</t>
  </si>
  <si>
    <t>Add spending breakdown</t>
  </si>
  <si>
    <t>Budget-conscious users need visibility of drink spending.</t>
  </si>
  <si>
    <t>DAA-020, DAA-023</t>
  </si>
  <si>
    <t>Summary can show estimated spending where price is available.</t>
  </si>
  <si>
    <t>DAA-027</t>
  </si>
  <si>
    <t>Define AI insight rules/prompts</t>
  </si>
  <si>
    <t>The app needs a safe basis for generated feedback.</t>
  </si>
  <si>
    <t>Research findings</t>
  </si>
  <si>
    <t>Insight logic or prompts are documented and responsible.</t>
  </si>
  <si>
    <t>Users need personalised awareness feedback.</t>
  </si>
  <si>
    <t>DAA-023, DAA-024, DAA-027</t>
  </si>
  <si>
    <t>App displays at least one useful insight based on logged data.</t>
  </si>
  <si>
    <t>Can start with rule-based insight if API not ready.</t>
  </si>
  <si>
    <t>DAA-029</t>
  </si>
  <si>
    <t>Add insight safety wording</t>
  </si>
  <si>
    <t>Users need feedback that is supportive and non-medical.</t>
  </si>
  <si>
    <t>Insights avoid diagnosis, shame and encouragement of excessive drinking.</t>
  </si>
  <si>
    <t>DAA-030</t>
  </si>
  <si>
    <t>Add insight feedback controls</t>
  </si>
  <si>
    <t>Users may want to dismiss or rate insights.</t>
  </si>
  <si>
    <t>Users can dismiss or provide simple feedback on an insight.</t>
  </si>
  <si>
    <t>Could be future if time is tight.</t>
  </si>
  <si>
    <t>DAA-031</t>
  </si>
  <si>
    <t>Privacy &amp; Settings</t>
  </si>
  <si>
    <t>Store logged data reliably</t>
  </si>
  <si>
    <t>Users need their logged drinks to persist between sessions.</t>
  </si>
  <si>
    <t>Drink logs persist locally or through chosen storage approach.</t>
  </si>
  <si>
    <t>DAA-032</t>
  </si>
  <si>
    <t>Allow data deletion</t>
  </si>
  <si>
    <t>Users should have control over their personal app data.</t>
  </si>
  <si>
    <t>Users can delete logs or reset app data.</t>
  </si>
  <si>
    <t>DAA-033</t>
  </si>
  <si>
    <t>Create basic settings screen</t>
  </si>
  <si>
    <t>Users need access to disclaimers and simple preferences.</t>
  </si>
  <si>
    <t>Settings screen includes disclaimer and optional preferences.</t>
  </si>
  <si>
    <t>DAA-034</t>
  </si>
  <si>
    <t>Testing</t>
  </si>
  <si>
    <t>Test alcohol unit calculation</t>
  </si>
  <si>
    <t>The app must calculate summaries correctly.</t>
  </si>
  <si>
    <t>Unit calculation tests pass for multiple example drinks.</t>
  </si>
  <si>
    <t>DAA-035</t>
  </si>
  <si>
    <t>Conduct small usability test</t>
  </si>
  <si>
    <t>The app needs validation that users understand the flow.</t>
  </si>
  <si>
    <t>MVP prototype</t>
  </si>
  <si>
    <t>At least a small number of users test the main flow and provide feedback.</t>
  </si>
  <si>
    <t>DAA-036</t>
  </si>
  <si>
    <t>Bug fixing and UI polish</t>
  </si>
  <si>
    <t>The MVP needs to be stable and presentable.</t>
  </si>
  <si>
    <t>Critical bugs are fixed and key screens look portfolio-ready.</t>
  </si>
  <si>
    <t>DAA-037</t>
  </si>
  <si>
    <t>Deployment</t>
  </si>
  <si>
    <t>Create deployment checklist</t>
  </si>
  <si>
    <t>Release prep needs to be tracked before portfolio launch.</t>
  </si>
  <si>
    <t>Deployment prep</t>
  </si>
  <si>
    <t>Checklist covers build, testing, screenshots, privacy notes and release tasks.</t>
  </si>
  <si>
    <t>DAA-038</t>
  </si>
  <si>
    <t>Prepare portfolio README/screenshots</t>
  </si>
  <si>
    <t>The project needs to demonstrate value to viewers.</t>
  </si>
  <si>
    <t>MVP deployment / portfolio-ready release</t>
  </si>
  <si>
    <t>GitHub README includes overview, screenshots, features and setup notes.</t>
  </si>
  <si>
    <t>Users need to log drinks in seconds during a social outing without entering details manually.</t>
  </si>
  <si>
    <t>User can tap a preset (e.g. Pint of Lager, Glass of Wine) and log it in one or two taps.</t>
  </si>
  <si>
    <t>ADDED: Research 18 Jun 2026. Most-requested finding. Include: pint lager, pint cider, glass wine, bottled beer, single spirit, double spirit, cocktail.</t>
  </si>
  <si>
    <t>Users should not be required to enter more than the minimum needed to log a drink.</t>
  </si>
  <si>
    <t>DAA-018, DAA-047</t>
  </si>
  <si>
    <t>Required fields on Log Drink are drink name/type and time only. All other fields are optional.</t>
  </si>
  <si>
    <t>ADDED: Research 18 Jun 2026. Only drink name (6/8) and time (4/8) had majority support. ABV must never be required.</t>
  </si>
  <si>
    <t>Users need to understand the basis of an insight before they can trust it.</t>
  </si>
  <si>
    <t>Every insight card includes a note explaining what data it is based on.</t>
  </si>
  <si>
    <t>ADDED: Research 18 Jun 2026. Trust factor rated 7/8. Non-negotiable implementation requirement.</t>
  </si>
  <si>
    <t>Users should be able to use the app immediately without creating an account.</t>
  </si>
  <si>
    <t>App can be used fully without account creation. No forced sign-up on first launch.</t>
  </si>
  <si>
    <t>ADDED: Research 18 Jun 2026. Elevated from Should to Must. 7/8 comfortable with no account.</t>
  </si>
  <si>
    <t>DAA-039</t>
  </si>
  <si>
    <t>Future Feature</t>
  </si>
  <si>
    <t>Drink photo recognition</t>
  </si>
  <si>
    <t>Users may want faster logging through a photo.</t>
  </si>
  <si>
    <t>Future</t>
  </si>
  <si>
    <t>Post-MVP</t>
  </si>
  <si>
    <t>Stable logging flow</t>
  </si>
  <si>
    <t>Future feature documented.</t>
  </si>
  <si>
    <t>Requires image recognition.</t>
  </si>
  <si>
    <t>DAA-040</t>
  </si>
  <si>
    <t>Friend groups</t>
  </si>
  <si>
    <t>Users may want private social accountability.</t>
  </si>
  <si>
    <t>Privacy design</t>
  </si>
  <si>
    <t>Must avoid encouraging excess.</t>
  </si>
  <si>
    <t>DAA-041</t>
  </si>
  <si>
    <t>Social accountability / leaderboard</t>
  </si>
  <si>
    <t>Some users may want social motivation, but it is risky.</t>
  </si>
  <si>
    <t>Won't</t>
  </si>
  <si>
    <t>Responsible design review</t>
  </si>
  <si>
    <t>Feature remains excluded unless redesigned safely.</t>
  </si>
  <si>
    <t>Avoid ranking by alcohol consumed.</t>
  </si>
  <si>
    <t>DAA-042</t>
  </si>
  <si>
    <t>Goal streaks</t>
  </si>
  <si>
    <t>Users may want personal goals and progress streaks.</t>
  </si>
  <si>
    <t>Summaries and settings</t>
  </si>
  <si>
    <t>Focus on alcohol-free days rather than consumption.</t>
  </si>
  <si>
    <t>DAA-043</t>
  </si>
  <si>
    <t>Smarter recommendations</t>
  </si>
  <si>
    <t>Users may want lower-alcohol or cheaper recommendations.</t>
  </si>
  <si>
    <t>More user data</t>
  </si>
  <si>
    <t>DAA-044</t>
  </si>
  <si>
    <t>Venue partnership dashboard</t>
  </si>
  <si>
    <t>Venues may later want verified menus or analytics.</t>
  </si>
  <si>
    <t>Business partnerships</t>
  </si>
  <si>
    <t>Feature remains outside MVP.</t>
  </si>
  <si>
    <t>DAA-045</t>
  </si>
  <si>
    <t>Premium subscription/payment integration</t>
  </si>
  <si>
    <t>The freemium model may need payment support later.</t>
  </si>
  <si>
    <t>Premium feature validation</t>
  </si>
  <si>
    <t>Payment integration is deferred.</t>
  </si>
  <si>
    <t>DAA-046</t>
  </si>
  <si>
    <t>Real venue API integration</t>
  </si>
  <si>
    <t>The app may later pull live venue/menu data.</t>
  </si>
  <si>
    <t>Technical feasibility</t>
  </si>
  <si>
    <t>Future integration options researched after MVP.</t>
  </si>
  <si>
    <t>User Stories — Updated 18 June 2026</t>
  </si>
  <si>
    <t>Story ID</t>
  </si>
  <si>
    <t>User Story</t>
  </si>
  <si>
    <t>Linked Backlog IDs</t>
  </si>
  <si>
    <t>Priority</t>
  </si>
  <si>
    <t>US-001</t>
  </si>
  <si>
    <t>As a social drinker, I want to browse nearby/example venues so that I can choose where I may log drinks.</t>
  </si>
  <si>
    <t>Venue list or map is visible and each venue can be opened.</t>
  </si>
  <si>
    <t>DAA-007, DAA-009, DAA-011</t>
  </si>
  <si>
    <t>US-002</t>
  </si>
  <si>
    <t>As a user, I want to view drink names, ABV and prices so that I can make more informed choices.</t>
  </si>
  <si>
    <t>Menu shows sample drinks with useful details.</t>
  </si>
  <si>
    <t>DAA-012, DAA-013, DAA-015</t>
  </si>
  <si>
    <t>US-003</t>
  </si>
  <si>
    <t>As a user, I want to log a drink quickly so that I can track consumption during a social outing.</t>
  </si>
  <si>
    <t>User can log from a menu item or manual entry form.</t>
  </si>
  <si>
    <t>DAA-017, DAA-018</t>
  </si>
  <si>
    <t>US-004</t>
  </si>
  <si>
    <t>As a user, I want the app to estimate alcohol units so that I can understand more than just drink count.</t>
  </si>
  <si>
    <t>Logged drinks calculate units consistently from size and ABV.</t>
  </si>
  <si>
    <t>US-005</t>
  </si>
  <si>
    <t>As a user, I want a daily summary so that I can see what I have logged today.</t>
  </si>
  <si>
    <t>Today's drinks, units and optional spending are displayed.</t>
  </si>
  <si>
    <t>US-006</t>
  </si>
  <si>
    <t>As a user, I want a weekly summary so that I can spot patterns across several days.</t>
  </si>
  <si>
    <t>Weekly totals and basic visual summary are displayed.</t>
  </si>
  <si>
    <t>DAA-024, DAA-025</t>
  </si>
  <si>
    <t>US-007</t>
  </si>
  <si>
    <t>As a user, I want supportive insights so that I can reflect on my drinking habits without feeling judged.</t>
  </si>
  <si>
    <t>At least one insight is shown and uses non-medical wording.</t>
  </si>
  <si>
    <t>DAA-027, DAA-028, DAA-029</t>
  </si>
  <si>
    <t>US-008</t>
  </si>
  <si>
    <t>As a user, I want privacy and control so that I feel safe using the app.</t>
  </si>
  <si>
    <t>App avoids unnecessary data collection and allows deletion/reset.</t>
  </si>
  <si>
    <t>DAA-031, DAA-032</t>
  </si>
  <si>
    <t>US-009</t>
  </si>
  <si>
    <t>Portfolio</t>
  </si>
  <si>
    <t>As a portfolio viewer, I want to understand the project quickly so that I can see the product value.</t>
  </si>
  <si>
    <t>README includes purpose, screenshots, features and setup information.</t>
  </si>
  <si>
    <t>US-010</t>
  </si>
  <si>
    <t>As a user, I want to select a drink from a quick-select list so that I can log it in a few seconds.</t>
  </si>
  <si>
    <t>Preset list visible on Log Drink screen. Tapping a preset logs it with minimal additional input.</t>
  </si>
  <si>
    <t>US-011</t>
  </si>
  <si>
    <t>As a user, I want drink name and time to be the only required fields so that logging never feels like a chore.</t>
  </si>
  <si>
    <t>Log Drink form completes successfully with only name and time. All other fields shown as optional.</t>
  </si>
  <si>
    <t>US-012</t>
  </si>
  <si>
    <t>As a user, I want every AI insight to tell me what data it is based on so that I can decide whether to trust it.</t>
  </si>
  <si>
    <t>Every displayed insight includes a visible note explaining its data basis.</t>
  </si>
  <si>
    <t>Release Plan — Updated 18 June 2026</t>
  </si>
  <si>
    <t>Date Range</t>
  </si>
  <si>
    <t>Main Focus</t>
  </si>
  <si>
    <t>Key Outputs</t>
  </si>
  <si>
    <t>Related Backlog Items</t>
  </si>
  <si>
    <t>Research and validation</t>
  </si>
  <si>
    <t>18 May – 31 May 2026</t>
  </si>
  <si>
    <t>Validate problem, users, competitors and assumptions.</t>
  </si>
  <si>
    <t>Research plan, interview questions, competitor analysis, survey findings.</t>
  </si>
  <si>
    <t>DAA-035, research inputs</t>
  </si>
  <si>
    <t>Planning and backlog</t>
  </si>
  <si>
    <t>1 Jun – 18 Jun 2026</t>
  </si>
  <si>
    <t>Turn project scope into tasks and prioritised build plan.</t>
  </si>
  <si>
    <t>MVP scope, feature backlog updated with research findings.</t>
  </si>
  <si>
    <t>All backlog items</t>
  </si>
  <si>
    <t>UX/UI design</t>
  </si>
  <si>
    <t>15 Jun – 28 Jun 2026</t>
  </si>
  <si>
    <t>Design core app screens and user flows.</t>
  </si>
  <si>
    <t>Wireframes, navigation flow, screen designs.</t>
  </si>
  <si>
    <t>DAA-003, DAA-007, DAA-011, DAA-013, DAA-018, DAA-023, DAA-024, DAA-028, DAA-047</t>
  </si>
  <si>
    <t>In Progress</t>
  </si>
  <si>
    <t>29 Jun – 12 Jul 2026</t>
  </si>
  <si>
    <t>Set up app structure, data models and core architecture.</t>
  </si>
  <si>
    <t>Project setup, data models, storage approach.</t>
  </si>
  <si>
    <t>DAA-001, DAA-002, DAA-006, DAA-012, DAA-016, DAA-031</t>
  </si>
  <si>
    <t>13 Jul – 23 Aug 2026</t>
  </si>
  <si>
    <t>Build MVP screens and core functionality.</t>
  </si>
  <si>
    <t>Venue discovery, logging, summaries, insights, presets.</t>
  </si>
  <si>
    <t>DAA-003 to DAA-030, DAA-047 to DAA-050</t>
  </si>
  <si>
    <t>Polish, testing, iteration</t>
  </si>
  <si>
    <t>24 Aug – 20 Sep 2026</t>
  </si>
  <si>
    <t>Improve usability, fix bugs and validate with users.</t>
  </si>
  <si>
    <t>Charts, edit/delete, testing, bug fixes.</t>
  </si>
  <si>
    <t>DAA-010, DAA-021 to DAA-026, DAA-030, DAA-032 to DAA-036</t>
  </si>
  <si>
    <t>21 Sep – 4 Oct 2026</t>
  </si>
  <si>
    <t>Prepare app and repo for release/demo.</t>
  </si>
  <si>
    <t>Checklist, final testing, release preparation.</t>
  </si>
  <si>
    <t>MVP deployment / portfolio release</t>
  </si>
  <si>
    <t>5 Oct – 18 Oct 2026</t>
  </si>
  <si>
    <t>Create final portfolio-ready release.</t>
  </si>
  <si>
    <t>README, screenshots, release notes.</t>
  </si>
  <si>
    <t>After 18 Oct 2026</t>
  </si>
  <si>
    <t>Evaluate future ideas after first version is validated.</t>
  </si>
  <si>
    <t>Future backlog review.</t>
  </si>
  <si>
    <t>DAA-039 to DAA-046</t>
  </si>
  <si>
    <t>Deferred</t>
  </si>
  <si>
    <t>Feature Backlog — Prioritisation Guide</t>
  </si>
  <si>
    <t>Field</t>
  </si>
  <si>
    <t>Meaning</t>
  </si>
  <si>
    <t>How to Use</t>
  </si>
  <si>
    <t>Example</t>
  </si>
  <si>
    <t>Whether the item belongs in the first build or future backlog.</t>
  </si>
  <si>
    <t>Use MVP for first version work; Future for post-MVP ideas.</t>
  </si>
  <si>
    <t>Must, Should, Could, Won’t for MVP prioritisation.</t>
  </si>
  <si>
    <t>Must items are required for MVP completion.</t>
  </si>
  <si>
    <t>Effort (1-5)</t>
  </si>
  <si>
    <t>Estimated work required.</t>
  </si>
  <si>
    <t>1 is small/easy; 5 is large/complex.</t>
  </si>
  <si>
    <t>3</t>
  </si>
  <si>
    <t>Value (1-5)</t>
  </si>
  <si>
    <t>Expected value to users/project.</t>
  </si>
  <si>
    <t>1 is low value; 5 is high value.</t>
  </si>
  <si>
    <t>5</t>
  </si>
  <si>
    <t>Risk (1-5)</t>
  </si>
  <si>
    <t>Uncertainty, technical complexity or responsible design risk.</t>
  </si>
  <si>
    <t>1 is low risk; 5 is high risk.</t>
  </si>
  <si>
    <t>2</t>
  </si>
  <si>
    <t>Formula: Value - Effort - Risk + 10.</t>
  </si>
  <si>
    <t>Higher score = stronger candidate for earlier delivery.</t>
  </si>
  <si>
    <t>Calculated</t>
  </si>
  <si>
    <t>Current progress on this item.</t>
  </si>
  <si>
    <t>Update throughout the build phase.</t>
  </si>
  <si>
    <t>Other items needed before this one can start.</t>
  </si>
  <si>
    <t>Use IDs so dependencies remain clear.</t>
  </si>
  <si>
    <t>Blocked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</si>
</sst>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charset val="1"/>
    </font>
    <font>
      <b/>
      <sz val="13"/>
      <color rgb="FFFFFFFF"/>
      <name val="Arial"/>
      <charset val="1"/>
    </font>
    <font>
      <i/>
      <sz val="9"/>
      <color rgb="FF7A9BB5"/>
      <name val="Arial"/>
      <charset val="1"/>
    </font>
    <font>
      <b/>
      <sz val="9"/>
      <color rgb="FFFFFFFF"/>
      <name val="Arial"/>
      <charset val="1"/>
    </font>
    <font>
      <b/>
      <sz val="18"/>
      <color rgb="FF1B3A5C"/>
      <name val="Arial"/>
      <charset val="1"/>
    </font>
    <font>
      <b/>
      <sz val="10"/>
      <color rgb="FFFFFFFF"/>
      <name val="Arial"/>
      <charset val="1"/>
    </font>
    <font>
      <sz val="9"/>
      <color rgb="FF1A1A2E"/>
      <name val="Arial"/>
      <charset val="1"/>
    </font>
    <font>
      <b/>
      <sz val="9"/>
      <color rgb="FF1A5C35"/>
      <name val="Arial"/>
      <charset val="1"/>
    </font>
    <font>
      <b/>
      <sz val="9"/>
      <color rgb="FF7A5C00"/>
      <name val="Arial"/>
      <charset val="1"/>
    </font>
    <font>
      <sz val="9"/>
      <color rgb="FF7A9BB5"/>
      <name val="Arial"/>
      <charset val="1"/>
    </font>
    <font>
      <b/>
      <sz val="12"/>
      <color rgb="FFFFFFFF"/>
      <name val="Arial"/>
      <charset val="1"/>
    </font>
    <font>
      <b/>
      <sz val="9"/>
      <color rgb="FF2E6DA4"/>
      <name val="Arial"/>
      <charset val="1"/>
    </font>
  </fonts>
  <fills count="14">
    <fill>
      <patternFill patternType="none"/>
    </fill>
    <fill>
      <patternFill patternType="gray125"/>
    </fill>
    <fill>
      <patternFill patternType="solid">
        <fgColor rgb="FF1B3A5C"/>
        <bgColor rgb="FF1A3A5C"/>
      </patternFill>
    </fill>
    <fill>
      <patternFill patternType="solid">
        <fgColor rgb="FFF2F5F8"/>
        <bgColor rgb="FFF8F0FF"/>
      </patternFill>
    </fill>
    <fill>
      <patternFill patternType="solid">
        <fgColor rgb="FFD6E8F7"/>
        <bgColor rgb="FFE6F4EC"/>
      </patternFill>
    </fill>
    <fill>
      <patternFill patternType="solid">
        <fgColor rgb="FF1A5C35"/>
        <bgColor rgb="FF1A3A5C"/>
      </patternFill>
    </fill>
    <fill>
      <patternFill patternType="solid">
        <fgColor rgb="FFFFFFFF"/>
        <bgColor rgb="FFF2F5F8"/>
      </patternFill>
    </fill>
    <fill>
      <patternFill patternType="solid">
        <fgColor rgb="FFE6F4EC"/>
        <bgColor rgb="FFF2F5F8"/>
      </patternFill>
    </fill>
    <fill>
      <patternFill patternType="solid">
        <fgColor rgb="FFFFF8E1"/>
        <bgColor rgb="FFF2F5F8"/>
      </patternFill>
    </fill>
    <fill>
      <patternFill patternType="solid">
        <fgColor rgb="FF1A3A5C"/>
        <bgColor rgb="FF1B3A5C"/>
      </patternFill>
    </fill>
    <fill>
      <patternFill patternType="solid">
        <fgColor rgb="FF5C4A1A"/>
        <bgColor rgb="FF7A5C00"/>
      </patternFill>
    </fill>
    <fill>
      <patternFill patternType="solid">
        <fgColor rgb="FFFAF0FF"/>
        <bgColor rgb="FFF8F0FF"/>
      </patternFill>
    </fill>
    <fill>
      <patternFill patternType="solid">
        <fgColor rgb="FFF8F0FF"/>
        <bgColor rgb="FFFAF0FF"/>
      </patternFill>
    </fill>
    <fill>
      <patternFill patternType="solid">
        <fgColor rgb="FF5C1A1A"/>
        <bgColor rgb="FF800000"/>
      </patternFill>
    </fill>
  </fills>
  <borders count="2">
    <border>
      <left/>
      <right/>
      <top/>
      <bottom/>
      <diagonal/>
    </border>
    <border>
      <left style="thin">
        <color rgb="FFC5D8EC"/>
      </left>
      <right style="thin">
        <color rgb="FFC5D8EC"/>
      </right>
      <top style="thin">
        <color rgb="FFC5D8EC"/>
      </top>
      <bottom style="thin">
        <color rgb="FFC5D8EC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0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left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6" fillId="11" borderId="1" xfId="0" applyFont="1" applyFill="1" applyBorder="1" applyAlignment="1">
      <alignment horizontal="left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6" fillId="11" borderId="1" xfId="0" applyFont="1" applyFill="1" applyBorder="1" applyAlignment="1">
      <alignment horizontal="center" vertical="center" wrapText="1"/>
    </xf>
    <xf numFmtId="0" fontId="6" fillId="12" borderId="1" xfId="0" applyFont="1" applyFill="1" applyBorder="1" applyAlignment="1">
      <alignment horizontal="left" vertical="center" wrapText="1"/>
    </xf>
    <xf numFmtId="0" fontId="6" fillId="12" borderId="1" xfId="0" applyFon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left" vertical="center" wrapText="1"/>
    </xf>
    <xf numFmtId="0" fontId="6" fillId="3" borderId="0" xfId="0" applyFont="1" applyFill="1" applyAlignment="1">
      <alignment horizontal="left" vertical="center" wrapText="1"/>
    </xf>
    <xf numFmtId="0" fontId="6" fillId="6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/>
    <xf numFmtId="0" fontId="2" fillId="3" borderId="0" xfId="0" applyFont="1" applyFill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5C1A1A"/>
      <rgbColor rgb="FF1A5C35"/>
      <rgbColor rgb="FF000080"/>
      <rgbColor rgb="FF7A5C00"/>
      <rgbColor rgb="FF800080"/>
      <rgbColor rgb="FF008080"/>
      <rgbColor rgb="FFC0C0C0"/>
      <rgbColor rgb="FF808080"/>
      <rgbColor rgb="FF9999FF"/>
      <rgbColor rgb="FF993366"/>
      <rgbColor rgb="FFFFF8E1"/>
      <rgbColor rgb="FFE6F4EC"/>
      <rgbColor rgb="FF660066"/>
      <rgbColor rgb="FFFF8080"/>
      <rgbColor rgb="FF2E6DA4"/>
      <rgbColor rgb="FFC5D8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8F7"/>
      <rgbColor rgb="FFF2F5F8"/>
      <rgbColor rgb="FFFAF0FF"/>
      <rgbColor rgb="FF99CCFF"/>
      <rgbColor rgb="FFFF99CC"/>
      <rgbColor rgb="FFCC99FF"/>
      <rgbColor rgb="FFF8F0FF"/>
      <rgbColor rgb="FF3366FF"/>
      <rgbColor rgb="FF33CCCC"/>
      <rgbColor rgb="FF99CC00"/>
      <rgbColor rgb="FFFFCC00"/>
      <rgbColor rgb="FFFF9900"/>
      <rgbColor rgb="FFC05C00"/>
      <rgbColor rgb="FF666699"/>
      <rgbColor rgb="FF7A9BB5"/>
      <rgbColor rgb="FF1A3A5C"/>
      <rgbColor rgb="FF339966"/>
      <rgbColor rgb="FF003300"/>
      <rgbColor rgb="FF1A1A2E"/>
      <rgbColor rgb="FF5C4A1A"/>
      <rgbColor rgb="FF993366"/>
      <rgbColor rgb="FF333399"/>
      <rgbColor rgb="FF1B3A5C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B3A5C"/>
  </sheetPr>
  <dimension ref="A1:J16"/>
  <sheetViews>
    <sheetView tabSelected="1" zoomScaleNormal="100" workbookViewId="0">
      <pane ySplit="2" topLeftCell="A3" activePane="bottomLeft" state="frozen"/>
      <selection pane="bottomLeft" sqref="A1:J1"/>
    </sheetView>
  </sheetViews>
  <sheetFormatPr defaultColWidth="8.6640625" defaultRowHeight="14.4" x14ac:dyDescent="0.3"/>
  <cols>
    <col min="1" max="1" width="9.44140625" style="24" bestFit="1" customWidth="1"/>
    <col min="2" max="2" width="12" style="24" bestFit="1" customWidth="1"/>
    <col min="3" max="3" width="36.5546875" style="24" bestFit="1" customWidth="1"/>
    <col min="4" max="4" width="9.109375" style="24" bestFit="1" customWidth="1"/>
    <col min="5" max="5" width="13.6640625" style="24" bestFit="1" customWidth="1"/>
    <col min="6" max="6" width="13.21875" style="24" bestFit="1" customWidth="1"/>
    <col min="7" max="7" width="17.33203125" style="24" bestFit="1" customWidth="1"/>
    <col min="8" max="8" width="18" style="24" customWidth="1"/>
    <col min="9" max="9" width="9.77734375" style="24" bestFit="1" customWidth="1"/>
    <col min="10" max="10" width="16" style="24" customWidth="1"/>
    <col min="11" max="16384" width="8.6640625" style="24"/>
  </cols>
  <sheetData>
    <row r="1" spans="1:10" ht="16.8" x14ac:dyDescent="0.3">
      <c r="A1" s="23" t="s">
        <v>0</v>
      </c>
      <c r="B1" s="23"/>
      <c r="C1" s="23"/>
      <c r="D1" s="23"/>
      <c r="E1" s="23"/>
      <c r="F1" s="23"/>
      <c r="G1" s="23"/>
      <c r="H1" s="23"/>
      <c r="I1" s="23"/>
      <c r="J1" s="23"/>
    </row>
    <row r="2" spans="1:10" x14ac:dyDescent="0.3">
      <c r="A2" s="25" t="s">
        <v>1</v>
      </c>
      <c r="B2" s="25"/>
      <c r="C2" s="25"/>
      <c r="D2" s="25"/>
      <c r="E2" s="25"/>
      <c r="F2" s="25"/>
      <c r="G2" s="25"/>
      <c r="H2" s="25"/>
      <c r="I2" s="25"/>
      <c r="J2" s="25"/>
    </row>
    <row r="4" spans="1:10" x14ac:dyDescent="0.3">
      <c r="A4" s="26" t="s">
        <v>2</v>
      </c>
      <c r="C4" s="26" t="s">
        <v>3</v>
      </c>
      <c r="E4" s="26" t="s">
        <v>4</v>
      </c>
      <c r="G4" s="26" t="s">
        <v>5</v>
      </c>
      <c r="I4" s="26" t="s">
        <v>6</v>
      </c>
    </row>
    <row r="5" spans="1:10" ht="22.8" x14ac:dyDescent="0.3">
      <c r="A5" s="27">
        <f>COUNTA('Feature Backlog'!A3:A200)</f>
        <v>51</v>
      </c>
      <c r="C5" s="27">
        <f>COUNTIF('Feature Backlog'!E3:E200,"MVP")</f>
        <v>42</v>
      </c>
      <c r="E5" s="27">
        <f>COUNTIF('Feature Backlog'!F3:F200,"Must")</f>
        <v>29</v>
      </c>
      <c r="G5" s="27">
        <f>COUNTIF('Feature Backlog'!H3:H200,"Done")</f>
        <v>0</v>
      </c>
      <c r="I5" s="27">
        <f>COUNTIF('Feature Backlog'!H3:H200,"Not Started")</f>
        <v>50</v>
      </c>
    </row>
    <row r="7" spans="1:10" x14ac:dyDescent="0.3">
      <c r="A7" s="28" t="s">
        <v>7</v>
      </c>
      <c r="B7" s="28" t="s">
        <v>8</v>
      </c>
      <c r="C7" s="28" t="s">
        <v>9</v>
      </c>
      <c r="D7" s="28" t="s">
        <v>10</v>
      </c>
      <c r="E7" s="28" t="s">
        <v>11</v>
      </c>
      <c r="F7" s="28" t="s">
        <v>12</v>
      </c>
      <c r="G7" s="28" t="s">
        <v>13</v>
      </c>
    </row>
    <row r="8" spans="1:10" x14ac:dyDescent="0.3">
      <c r="A8" s="29" t="s">
        <v>14</v>
      </c>
      <c r="B8" s="29" t="s">
        <v>15</v>
      </c>
      <c r="C8" s="29" t="s">
        <v>16</v>
      </c>
      <c r="D8" s="30" t="s">
        <v>17</v>
      </c>
      <c r="E8" s="29" t="s">
        <v>18</v>
      </c>
      <c r="F8" s="29">
        <v>14</v>
      </c>
      <c r="G8" s="29" t="s">
        <v>19</v>
      </c>
    </row>
    <row r="9" spans="1:10" x14ac:dyDescent="0.3">
      <c r="A9" s="31" t="s">
        <v>20</v>
      </c>
      <c r="B9" s="31" t="s">
        <v>15</v>
      </c>
      <c r="C9" s="31" t="s">
        <v>21</v>
      </c>
      <c r="D9" s="30" t="s">
        <v>17</v>
      </c>
      <c r="E9" s="31" t="s">
        <v>18</v>
      </c>
      <c r="F9" s="31">
        <v>14</v>
      </c>
      <c r="G9" s="31" t="s">
        <v>19</v>
      </c>
    </row>
    <row r="10" spans="1:10" x14ac:dyDescent="0.3">
      <c r="A10" s="29" t="s">
        <v>22</v>
      </c>
      <c r="B10" s="29" t="s">
        <v>23</v>
      </c>
      <c r="C10" s="29" t="s">
        <v>24</v>
      </c>
      <c r="D10" s="30" t="s">
        <v>17</v>
      </c>
      <c r="E10" s="29" t="s">
        <v>18</v>
      </c>
      <c r="F10" s="29">
        <v>14</v>
      </c>
      <c r="G10" s="29" t="s">
        <v>19</v>
      </c>
    </row>
    <row r="11" spans="1:10" x14ac:dyDescent="0.3">
      <c r="A11" s="31" t="s">
        <v>25</v>
      </c>
      <c r="B11" s="31" t="s">
        <v>26</v>
      </c>
      <c r="C11" s="31" t="s">
        <v>27</v>
      </c>
      <c r="D11" s="30" t="s">
        <v>17</v>
      </c>
      <c r="E11" s="31" t="s">
        <v>18</v>
      </c>
      <c r="F11" s="31">
        <v>13</v>
      </c>
      <c r="G11" s="31" t="s">
        <v>19</v>
      </c>
    </row>
    <row r="12" spans="1:10" x14ac:dyDescent="0.3">
      <c r="A12" s="29" t="s">
        <v>28</v>
      </c>
      <c r="B12" s="29" t="s">
        <v>26</v>
      </c>
      <c r="C12" s="29" t="s">
        <v>29</v>
      </c>
      <c r="D12" s="30" t="s">
        <v>17</v>
      </c>
      <c r="E12" s="29" t="s">
        <v>18</v>
      </c>
      <c r="F12" s="29"/>
      <c r="G12" s="29" t="s">
        <v>30</v>
      </c>
    </row>
    <row r="13" spans="1:10" x14ac:dyDescent="0.3">
      <c r="A13" s="31" t="s">
        <v>31</v>
      </c>
      <c r="B13" s="31" t="s">
        <v>15</v>
      </c>
      <c r="C13" s="31" t="s">
        <v>32</v>
      </c>
      <c r="D13" s="30" t="s">
        <v>17</v>
      </c>
      <c r="E13" s="31" t="s">
        <v>18</v>
      </c>
      <c r="F13" s="31"/>
      <c r="G13" s="31" t="s">
        <v>30</v>
      </c>
    </row>
    <row r="14" spans="1:10" x14ac:dyDescent="0.3">
      <c r="A14" s="29" t="s">
        <v>33</v>
      </c>
      <c r="B14" s="29" t="s">
        <v>34</v>
      </c>
      <c r="C14" s="29" t="s">
        <v>35</v>
      </c>
      <c r="D14" s="30" t="s">
        <v>17</v>
      </c>
      <c r="E14" s="29" t="s">
        <v>18</v>
      </c>
      <c r="F14" s="29"/>
      <c r="G14" s="29" t="s">
        <v>30</v>
      </c>
    </row>
    <row r="15" spans="1:10" x14ac:dyDescent="0.3">
      <c r="A15" s="31" t="s">
        <v>36</v>
      </c>
      <c r="B15" s="31" t="s">
        <v>34</v>
      </c>
      <c r="C15" s="31" t="s">
        <v>37</v>
      </c>
      <c r="D15" s="30" t="s">
        <v>17</v>
      </c>
      <c r="E15" s="31" t="s">
        <v>18</v>
      </c>
      <c r="F15" s="31"/>
      <c r="G15" s="31" t="s">
        <v>30</v>
      </c>
    </row>
    <row r="16" spans="1:10" x14ac:dyDescent="0.3">
      <c r="A16" s="29" t="s">
        <v>38</v>
      </c>
      <c r="B16" s="29" t="s">
        <v>23</v>
      </c>
      <c r="C16" s="29" t="s">
        <v>39</v>
      </c>
      <c r="D16" s="30" t="s">
        <v>17</v>
      </c>
      <c r="E16" s="29" t="s">
        <v>18</v>
      </c>
      <c r="F16" s="29"/>
      <c r="G16" s="29" t="s">
        <v>30</v>
      </c>
    </row>
  </sheetData>
  <mergeCells count="2">
    <mergeCell ref="A1:J1"/>
    <mergeCell ref="A2:J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6DA4"/>
  </sheetPr>
  <dimension ref="A1:O53"/>
  <sheetViews>
    <sheetView zoomScaleNormal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/>
    </sheetView>
  </sheetViews>
  <sheetFormatPr defaultColWidth="8.6640625" defaultRowHeight="14.4" x14ac:dyDescent="0.3"/>
  <cols>
    <col min="1" max="1" width="8" customWidth="1"/>
    <col min="2" max="2" width="18" customWidth="1"/>
    <col min="3" max="4" width="28" customWidth="1"/>
    <col min="5" max="5" width="10" customWidth="1"/>
    <col min="6" max="6" width="8" customWidth="1"/>
    <col min="7" max="7" width="20" customWidth="1"/>
    <col min="8" max="8" width="12" customWidth="1"/>
    <col min="9" max="11" width="6" customWidth="1"/>
    <col min="12" max="12" width="8" customWidth="1"/>
    <col min="13" max="13" width="16" customWidth="1"/>
    <col min="14" max="14" width="32" customWidth="1"/>
    <col min="15" max="15" width="24" customWidth="1"/>
  </cols>
  <sheetData>
    <row r="1" spans="1:15" ht="25.5" customHeight="1" x14ac:dyDescent="0.3">
      <c r="A1" s="2" t="s">
        <v>40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ht="7.5" customHeight="1" x14ac:dyDescent="0.3"/>
    <row r="3" spans="1:15" ht="19.5" customHeight="1" x14ac:dyDescent="0.3">
      <c r="A3" s="3" t="s">
        <v>7</v>
      </c>
      <c r="B3" s="3" t="s">
        <v>8</v>
      </c>
      <c r="C3" s="3" t="s">
        <v>9</v>
      </c>
      <c r="D3" s="3" t="s">
        <v>41</v>
      </c>
      <c r="E3" s="3" t="s">
        <v>42</v>
      </c>
      <c r="F3" s="3" t="s">
        <v>10</v>
      </c>
      <c r="G3" s="3" t="s">
        <v>11</v>
      </c>
      <c r="H3" s="3" t="s">
        <v>43</v>
      </c>
      <c r="I3" s="3" t="s">
        <v>44</v>
      </c>
      <c r="J3" s="3" t="s">
        <v>45</v>
      </c>
      <c r="K3" s="3" t="s">
        <v>46</v>
      </c>
      <c r="L3" s="3" t="s">
        <v>12</v>
      </c>
      <c r="M3" s="3" t="s">
        <v>47</v>
      </c>
      <c r="N3" s="3" t="s">
        <v>48</v>
      </c>
      <c r="O3" s="3" t="s">
        <v>49</v>
      </c>
    </row>
    <row r="4" spans="1:15" ht="42" customHeight="1" x14ac:dyDescent="0.3">
      <c r="A4" s="4" t="s">
        <v>50</v>
      </c>
      <c r="B4" s="4" t="s">
        <v>26</v>
      </c>
      <c r="C4" s="4" t="s">
        <v>51</v>
      </c>
      <c r="D4" s="4" t="s">
        <v>52</v>
      </c>
      <c r="E4" s="7" t="s">
        <v>53</v>
      </c>
      <c r="F4" s="5" t="s">
        <v>17</v>
      </c>
      <c r="G4" s="4" t="s">
        <v>54</v>
      </c>
      <c r="H4" s="8" t="s">
        <v>6</v>
      </c>
      <c r="I4" s="9">
        <v>2</v>
      </c>
      <c r="J4" s="9">
        <v>5</v>
      </c>
      <c r="K4" s="9">
        <v>2</v>
      </c>
      <c r="L4" s="9">
        <f t="shared" ref="L4:L35" si="0">J4-I4-K4+10</f>
        <v>11</v>
      </c>
      <c r="M4" s="4" t="s">
        <v>55</v>
      </c>
      <c r="N4" s="4" t="s">
        <v>56</v>
      </c>
      <c r="O4" s="4" t="s">
        <v>57</v>
      </c>
    </row>
    <row r="5" spans="1:15" ht="42" customHeight="1" x14ac:dyDescent="0.3">
      <c r="A5" s="6" t="s">
        <v>58</v>
      </c>
      <c r="B5" s="6" t="s">
        <v>26</v>
      </c>
      <c r="C5" s="6" t="s">
        <v>59</v>
      </c>
      <c r="D5" s="6" t="s">
        <v>60</v>
      </c>
      <c r="E5" s="7" t="s">
        <v>53</v>
      </c>
      <c r="F5" s="5" t="s">
        <v>17</v>
      </c>
      <c r="G5" s="6" t="s">
        <v>54</v>
      </c>
      <c r="H5" s="8" t="s">
        <v>6</v>
      </c>
      <c r="I5" s="10">
        <v>2</v>
      </c>
      <c r="J5" s="10">
        <v>5</v>
      </c>
      <c r="K5" s="10">
        <v>2</v>
      </c>
      <c r="L5" s="10">
        <f t="shared" si="0"/>
        <v>11</v>
      </c>
      <c r="M5" s="6" t="s">
        <v>50</v>
      </c>
      <c r="N5" s="6" t="s">
        <v>61</v>
      </c>
      <c r="O5" s="6"/>
    </row>
    <row r="6" spans="1:15" ht="42" customHeight="1" x14ac:dyDescent="0.3">
      <c r="A6" s="4" t="s">
        <v>62</v>
      </c>
      <c r="B6" s="4" t="s">
        <v>26</v>
      </c>
      <c r="C6" s="4" t="s">
        <v>63</v>
      </c>
      <c r="D6" s="4" t="s">
        <v>64</v>
      </c>
      <c r="E6" s="7" t="s">
        <v>53</v>
      </c>
      <c r="F6" s="5" t="s">
        <v>17</v>
      </c>
      <c r="G6" s="4" t="s">
        <v>18</v>
      </c>
      <c r="H6" s="8" t="s">
        <v>6</v>
      </c>
      <c r="I6" s="9">
        <v>3</v>
      </c>
      <c r="J6" s="9">
        <v>5</v>
      </c>
      <c r="K6" s="9">
        <v>2</v>
      </c>
      <c r="L6" s="9">
        <f t="shared" si="0"/>
        <v>10</v>
      </c>
      <c r="M6" s="4" t="s">
        <v>58</v>
      </c>
      <c r="N6" s="4" t="s">
        <v>65</v>
      </c>
      <c r="O6" s="4"/>
    </row>
    <row r="7" spans="1:15" ht="42" customHeight="1" x14ac:dyDescent="0.3">
      <c r="A7" s="6" t="s">
        <v>66</v>
      </c>
      <c r="B7" s="6" t="s">
        <v>26</v>
      </c>
      <c r="C7" s="6" t="s">
        <v>67</v>
      </c>
      <c r="D7" s="6" t="s">
        <v>68</v>
      </c>
      <c r="E7" s="7" t="s">
        <v>53</v>
      </c>
      <c r="F7" s="11" t="s">
        <v>69</v>
      </c>
      <c r="G7" s="6" t="s">
        <v>18</v>
      </c>
      <c r="H7" s="8" t="s">
        <v>6</v>
      </c>
      <c r="I7" s="10">
        <v>1</v>
      </c>
      <c r="J7" s="10">
        <v>4</v>
      </c>
      <c r="K7" s="10">
        <v>2</v>
      </c>
      <c r="L7" s="10">
        <f t="shared" si="0"/>
        <v>11</v>
      </c>
      <c r="M7" s="6" t="s">
        <v>62</v>
      </c>
      <c r="N7" s="6" t="s">
        <v>70</v>
      </c>
      <c r="O7" s="6" t="s">
        <v>71</v>
      </c>
    </row>
    <row r="8" spans="1:15" ht="42" customHeight="1" x14ac:dyDescent="0.3">
      <c r="A8" s="4" t="s">
        <v>28</v>
      </c>
      <c r="B8" s="4" t="s">
        <v>26</v>
      </c>
      <c r="C8" s="4" t="s">
        <v>29</v>
      </c>
      <c r="D8" s="4" t="s">
        <v>72</v>
      </c>
      <c r="E8" s="7" t="s">
        <v>53</v>
      </c>
      <c r="F8" s="5" t="s">
        <v>17</v>
      </c>
      <c r="G8" s="4" t="s">
        <v>18</v>
      </c>
      <c r="H8" s="8" t="s">
        <v>6</v>
      </c>
      <c r="I8" s="9">
        <v>1</v>
      </c>
      <c r="J8" s="9">
        <v>5</v>
      </c>
      <c r="K8" s="9">
        <v>2</v>
      </c>
      <c r="L8" s="9">
        <f t="shared" si="0"/>
        <v>12</v>
      </c>
      <c r="M8" s="4" t="s">
        <v>62</v>
      </c>
      <c r="N8" s="4" t="s">
        <v>73</v>
      </c>
      <c r="O8" s="4"/>
    </row>
    <row r="9" spans="1:15" ht="42" customHeight="1" x14ac:dyDescent="0.3">
      <c r="A9" s="6" t="s">
        <v>74</v>
      </c>
      <c r="B9" s="6" t="s">
        <v>75</v>
      </c>
      <c r="C9" s="6" t="s">
        <v>76</v>
      </c>
      <c r="D9" s="6" t="s">
        <v>77</v>
      </c>
      <c r="E9" s="7" t="s">
        <v>53</v>
      </c>
      <c r="F9" s="5" t="s">
        <v>17</v>
      </c>
      <c r="G9" s="6" t="s">
        <v>54</v>
      </c>
      <c r="H9" s="8" t="s">
        <v>6</v>
      </c>
      <c r="I9" s="10">
        <v>2</v>
      </c>
      <c r="J9" s="10">
        <v>5</v>
      </c>
      <c r="K9" s="10">
        <v>2</v>
      </c>
      <c r="L9" s="10">
        <f t="shared" si="0"/>
        <v>11</v>
      </c>
      <c r="M9" s="6" t="s">
        <v>50</v>
      </c>
      <c r="N9" s="6" t="s">
        <v>78</v>
      </c>
      <c r="O9" s="6" t="s">
        <v>79</v>
      </c>
    </row>
    <row r="10" spans="1:15" ht="42" customHeight="1" x14ac:dyDescent="0.3">
      <c r="A10" s="4" t="s">
        <v>80</v>
      </c>
      <c r="B10" s="4" t="s">
        <v>75</v>
      </c>
      <c r="C10" s="4" t="s">
        <v>81</v>
      </c>
      <c r="D10" s="4" t="s">
        <v>82</v>
      </c>
      <c r="E10" s="7" t="s">
        <v>53</v>
      </c>
      <c r="F10" s="5" t="s">
        <v>17</v>
      </c>
      <c r="G10" s="4" t="s">
        <v>18</v>
      </c>
      <c r="H10" s="8" t="s">
        <v>6</v>
      </c>
      <c r="I10" s="9">
        <v>3</v>
      </c>
      <c r="J10" s="9">
        <v>5</v>
      </c>
      <c r="K10" s="9">
        <v>2</v>
      </c>
      <c r="L10" s="9">
        <f t="shared" si="0"/>
        <v>10</v>
      </c>
      <c r="M10" s="4" t="s">
        <v>74</v>
      </c>
      <c r="N10" s="4" t="s">
        <v>83</v>
      </c>
      <c r="O10" s="4"/>
    </row>
    <row r="11" spans="1:15" ht="42" customHeight="1" x14ac:dyDescent="0.3">
      <c r="A11" s="6" t="s">
        <v>84</v>
      </c>
      <c r="B11" s="6" t="s">
        <v>75</v>
      </c>
      <c r="C11" s="6" t="s">
        <v>85</v>
      </c>
      <c r="D11" s="6" t="s">
        <v>86</v>
      </c>
      <c r="E11" s="7" t="s">
        <v>53</v>
      </c>
      <c r="F11" s="11" t="s">
        <v>69</v>
      </c>
      <c r="G11" s="6" t="s">
        <v>18</v>
      </c>
      <c r="H11" s="8" t="s">
        <v>6</v>
      </c>
      <c r="I11" s="10">
        <v>2</v>
      </c>
      <c r="J11" s="10">
        <v>4</v>
      </c>
      <c r="K11" s="10">
        <v>2</v>
      </c>
      <c r="L11" s="10">
        <f t="shared" si="0"/>
        <v>10</v>
      </c>
      <c r="M11" s="6" t="s">
        <v>80</v>
      </c>
      <c r="N11" s="6" t="s">
        <v>87</v>
      </c>
      <c r="O11" s="6"/>
    </row>
    <row r="12" spans="1:15" ht="42" customHeight="1" x14ac:dyDescent="0.3">
      <c r="A12" s="4" t="s">
        <v>88</v>
      </c>
      <c r="B12" s="4" t="s">
        <v>75</v>
      </c>
      <c r="C12" s="4" t="s">
        <v>89</v>
      </c>
      <c r="D12" s="4" t="s">
        <v>90</v>
      </c>
      <c r="E12" s="7" t="s">
        <v>53</v>
      </c>
      <c r="F12" s="5" t="s">
        <v>17</v>
      </c>
      <c r="G12" s="4" t="s">
        <v>18</v>
      </c>
      <c r="H12" s="8" t="s">
        <v>6</v>
      </c>
      <c r="I12" s="9">
        <v>4</v>
      </c>
      <c r="J12" s="9">
        <v>5</v>
      </c>
      <c r="K12" s="9">
        <v>3</v>
      </c>
      <c r="L12" s="9">
        <f t="shared" si="0"/>
        <v>8</v>
      </c>
      <c r="M12" s="4" t="s">
        <v>74</v>
      </c>
      <c r="N12" s="4" t="s">
        <v>91</v>
      </c>
      <c r="O12" s="4" t="s">
        <v>92</v>
      </c>
    </row>
    <row r="13" spans="1:15" ht="42" customHeight="1" x14ac:dyDescent="0.3">
      <c r="A13" s="6" t="s">
        <v>93</v>
      </c>
      <c r="B13" s="6" t="s">
        <v>75</v>
      </c>
      <c r="C13" s="6" t="s">
        <v>94</v>
      </c>
      <c r="D13" s="6" t="s">
        <v>95</v>
      </c>
      <c r="E13" s="7" t="s">
        <v>53</v>
      </c>
      <c r="F13" s="12" t="s">
        <v>96</v>
      </c>
      <c r="G13" s="6" t="s">
        <v>97</v>
      </c>
      <c r="H13" s="8" t="s">
        <v>6</v>
      </c>
      <c r="I13" s="10">
        <v>2</v>
      </c>
      <c r="J13" s="10">
        <v>3</v>
      </c>
      <c r="K13" s="10">
        <v>2</v>
      </c>
      <c r="L13" s="10">
        <f t="shared" si="0"/>
        <v>9</v>
      </c>
      <c r="M13" s="6" t="s">
        <v>80</v>
      </c>
      <c r="N13" s="6" t="s">
        <v>98</v>
      </c>
      <c r="O13" s="6" t="s">
        <v>99</v>
      </c>
    </row>
    <row r="14" spans="1:15" ht="42" customHeight="1" x14ac:dyDescent="0.3">
      <c r="A14" s="4" t="s">
        <v>100</v>
      </c>
      <c r="B14" s="4" t="s">
        <v>101</v>
      </c>
      <c r="C14" s="4" t="s">
        <v>102</v>
      </c>
      <c r="D14" s="4" t="s">
        <v>103</v>
      </c>
      <c r="E14" s="7" t="s">
        <v>53</v>
      </c>
      <c r="F14" s="5" t="s">
        <v>17</v>
      </c>
      <c r="G14" s="4" t="s">
        <v>18</v>
      </c>
      <c r="H14" s="8" t="s">
        <v>6</v>
      </c>
      <c r="I14" s="9">
        <v>3</v>
      </c>
      <c r="J14" s="9">
        <v>5</v>
      </c>
      <c r="K14" s="9">
        <v>2</v>
      </c>
      <c r="L14" s="9">
        <f t="shared" si="0"/>
        <v>10</v>
      </c>
      <c r="M14" s="4" t="s">
        <v>104</v>
      </c>
      <c r="N14" s="4" t="s">
        <v>105</v>
      </c>
      <c r="O14" s="4"/>
    </row>
    <row r="15" spans="1:15" ht="42" customHeight="1" x14ac:dyDescent="0.3">
      <c r="A15" s="6" t="s">
        <v>106</v>
      </c>
      <c r="B15" s="6" t="s">
        <v>107</v>
      </c>
      <c r="C15" s="6" t="s">
        <v>108</v>
      </c>
      <c r="D15" s="6" t="s">
        <v>109</v>
      </c>
      <c r="E15" s="7" t="s">
        <v>53</v>
      </c>
      <c r="F15" s="5" t="s">
        <v>17</v>
      </c>
      <c r="G15" s="6" t="s">
        <v>54</v>
      </c>
      <c r="H15" s="8" t="s">
        <v>6</v>
      </c>
      <c r="I15" s="10">
        <v>2</v>
      </c>
      <c r="J15" s="10">
        <v>5</v>
      </c>
      <c r="K15" s="10">
        <v>2</v>
      </c>
      <c r="L15" s="10">
        <f t="shared" si="0"/>
        <v>11</v>
      </c>
      <c r="M15" s="6" t="s">
        <v>50</v>
      </c>
      <c r="N15" s="6" t="s">
        <v>110</v>
      </c>
      <c r="O15" s="6"/>
    </row>
    <row r="16" spans="1:15" ht="42" customHeight="1" x14ac:dyDescent="0.3">
      <c r="A16" s="4" t="s">
        <v>111</v>
      </c>
      <c r="B16" s="4" t="s">
        <v>107</v>
      </c>
      <c r="C16" s="4" t="s">
        <v>112</v>
      </c>
      <c r="D16" s="4" t="s">
        <v>113</v>
      </c>
      <c r="E16" s="7" t="s">
        <v>53</v>
      </c>
      <c r="F16" s="5" t="s">
        <v>17</v>
      </c>
      <c r="G16" s="4" t="s">
        <v>18</v>
      </c>
      <c r="H16" s="8" t="s">
        <v>6</v>
      </c>
      <c r="I16" s="9">
        <v>3</v>
      </c>
      <c r="J16" s="9">
        <v>5</v>
      </c>
      <c r="K16" s="9">
        <v>2</v>
      </c>
      <c r="L16" s="9">
        <f t="shared" si="0"/>
        <v>10</v>
      </c>
      <c r="M16" s="4" t="s">
        <v>114</v>
      </c>
      <c r="N16" s="4" t="s">
        <v>115</v>
      </c>
      <c r="O16" s="4"/>
    </row>
    <row r="17" spans="1:15" ht="42" customHeight="1" x14ac:dyDescent="0.3">
      <c r="A17" s="6" t="s">
        <v>116</v>
      </c>
      <c r="B17" s="6" t="s">
        <v>107</v>
      </c>
      <c r="C17" s="6" t="s">
        <v>117</v>
      </c>
      <c r="D17" s="6" t="s">
        <v>118</v>
      </c>
      <c r="E17" s="7" t="s">
        <v>53</v>
      </c>
      <c r="F17" s="11" t="s">
        <v>69</v>
      </c>
      <c r="G17" s="6" t="s">
        <v>18</v>
      </c>
      <c r="H17" s="8" t="s">
        <v>6</v>
      </c>
      <c r="I17" s="10">
        <v>2</v>
      </c>
      <c r="J17" s="10">
        <v>4</v>
      </c>
      <c r="K17" s="10">
        <v>2</v>
      </c>
      <c r="L17" s="10">
        <f t="shared" si="0"/>
        <v>10</v>
      </c>
      <c r="M17" s="6" t="s">
        <v>111</v>
      </c>
      <c r="N17" s="6" t="s">
        <v>119</v>
      </c>
      <c r="O17" s="6"/>
    </row>
    <row r="18" spans="1:15" ht="42" customHeight="1" x14ac:dyDescent="0.3">
      <c r="A18" s="4" t="s">
        <v>120</v>
      </c>
      <c r="B18" s="4" t="s">
        <v>107</v>
      </c>
      <c r="C18" s="4" t="s">
        <v>121</v>
      </c>
      <c r="D18" s="4" t="s">
        <v>122</v>
      </c>
      <c r="E18" s="7" t="s">
        <v>53</v>
      </c>
      <c r="F18" s="5" t="s">
        <v>17</v>
      </c>
      <c r="G18" s="4" t="s">
        <v>18</v>
      </c>
      <c r="H18" s="8" t="s">
        <v>6</v>
      </c>
      <c r="I18" s="9">
        <v>1</v>
      </c>
      <c r="J18" s="9">
        <v>5</v>
      </c>
      <c r="K18" s="9">
        <v>2</v>
      </c>
      <c r="L18" s="9">
        <f t="shared" si="0"/>
        <v>12</v>
      </c>
      <c r="M18" s="4" t="s">
        <v>111</v>
      </c>
      <c r="N18" s="4" t="s">
        <v>123</v>
      </c>
      <c r="O18" s="4"/>
    </row>
    <row r="19" spans="1:15" ht="42" customHeight="1" x14ac:dyDescent="0.3">
      <c r="A19" s="6" t="s">
        <v>124</v>
      </c>
      <c r="B19" s="6" t="s">
        <v>15</v>
      </c>
      <c r="C19" s="6" t="s">
        <v>125</v>
      </c>
      <c r="D19" s="6" t="s">
        <v>126</v>
      </c>
      <c r="E19" s="7" t="s">
        <v>53</v>
      </c>
      <c r="F19" s="5" t="s">
        <v>17</v>
      </c>
      <c r="G19" s="6" t="s">
        <v>54</v>
      </c>
      <c r="H19" s="8" t="s">
        <v>6</v>
      </c>
      <c r="I19" s="10">
        <v>2</v>
      </c>
      <c r="J19" s="10">
        <v>5</v>
      </c>
      <c r="K19" s="10">
        <v>2</v>
      </c>
      <c r="L19" s="10">
        <f t="shared" si="0"/>
        <v>11</v>
      </c>
      <c r="M19" s="6" t="s">
        <v>50</v>
      </c>
      <c r="N19" s="6" t="s">
        <v>127</v>
      </c>
      <c r="O19" s="6"/>
    </row>
    <row r="20" spans="1:15" ht="42" customHeight="1" x14ac:dyDescent="0.3">
      <c r="A20" s="4" t="s">
        <v>128</v>
      </c>
      <c r="B20" s="4" t="s">
        <v>15</v>
      </c>
      <c r="C20" s="4" t="s">
        <v>129</v>
      </c>
      <c r="D20" s="4" t="s">
        <v>130</v>
      </c>
      <c r="E20" s="7" t="s">
        <v>53</v>
      </c>
      <c r="F20" s="5" t="s">
        <v>17</v>
      </c>
      <c r="G20" s="4" t="s">
        <v>18</v>
      </c>
      <c r="H20" s="8" t="s">
        <v>6</v>
      </c>
      <c r="I20" s="9">
        <v>3</v>
      </c>
      <c r="J20" s="9">
        <v>5</v>
      </c>
      <c r="K20" s="9">
        <v>3</v>
      </c>
      <c r="L20" s="9">
        <f t="shared" si="0"/>
        <v>9</v>
      </c>
      <c r="M20" s="4" t="s">
        <v>131</v>
      </c>
      <c r="N20" s="4" t="s">
        <v>132</v>
      </c>
      <c r="O20" s="4"/>
    </row>
    <row r="21" spans="1:15" ht="42" customHeight="1" x14ac:dyDescent="0.3">
      <c r="A21" s="6" t="s">
        <v>31</v>
      </c>
      <c r="B21" s="6" t="s">
        <v>15</v>
      </c>
      <c r="C21" s="6" t="s">
        <v>32</v>
      </c>
      <c r="D21" s="6" t="s">
        <v>133</v>
      </c>
      <c r="E21" s="7" t="s">
        <v>53</v>
      </c>
      <c r="F21" s="5" t="s">
        <v>17</v>
      </c>
      <c r="G21" s="6" t="s">
        <v>18</v>
      </c>
      <c r="H21" s="8" t="s">
        <v>6</v>
      </c>
      <c r="I21" s="10">
        <v>3</v>
      </c>
      <c r="J21" s="10">
        <v>5</v>
      </c>
      <c r="K21" s="10">
        <v>3</v>
      </c>
      <c r="L21" s="10">
        <f t="shared" si="0"/>
        <v>9</v>
      </c>
      <c r="M21" s="6" t="s">
        <v>124</v>
      </c>
      <c r="N21" s="6" t="s">
        <v>134</v>
      </c>
      <c r="O21" s="6" t="s">
        <v>135</v>
      </c>
    </row>
    <row r="22" spans="1:15" ht="42" customHeight="1" x14ac:dyDescent="0.3">
      <c r="A22" s="4" t="s">
        <v>136</v>
      </c>
      <c r="B22" s="4" t="s">
        <v>15</v>
      </c>
      <c r="C22" s="4" t="s">
        <v>137</v>
      </c>
      <c r="D22" s="4" t="s">
        <v>138</v>
      </c>
      <c r="E22" s="7" t="s">
        <v>53</v>
      </c>
      <c r="F22" s="5" t="s">
        <v>17</v>
      </c>
      <c r="G22" s="4" t="s">
        <v>18</v>
      </c>
      <c r="H22" s="8" t="s">
        <v>6</v>
      </c>
      <c r="I22" s="9">
        <v>2</v>
      </c>
      <c r="J22" s="9">
        <v>5</v>
      </c>
      <c r="K22" s="9">
        <v>2</v>
      </c>
      <c r="L22" s="9">
        <f t="shared" si="0"/>
        <v>11</v>
      </c>
      <c r="M22" s="4" t="s">
        <v>124</v>
      </c>
      <c r="N22" s="4" t="s">
        <v>139</v>
      </c>
      <c r="O22" s="4" t="s">
        <v>140</v>
      </c>
    </row>
    <row r="23" spans="1:15" ht="42" customHeight="1" x14ac:dyDescent="0.3">
      <c r="A23" s="6" t="s">
        <v>141</v>
      </c>
      <c r="B23" s="6" t="s">
        <v>15</v>
      </c>
      <c r="C23" s="6" t="s">
        <v>142</v>
      </c>
      <c r="D23" s="6" t="s">
        <v>143</v>
      </c>
      <c r="E23" s="7" t="s">
        <v>53</v>
      </c>
      <c r="F23" s="11" t="s">
        <v>69</v>
      </c>
      <c r="G23" s="6" t="s">
        <v>18</v>
      </c>
      <c r="H23" s="8" t="s">
        <v>6</v>
      </c>
      <c r="I23" s="10">
        <v>2</v>
      </c>
      <c r="J23" s="10">
        <v>4</v>
      </c>
      <c r="K23" s="10">
        <v>2</v>
      </c>
      <c r="L23" s="10">
        <f t="shared" si="0"/>
        <v>10</v>
      </c>
      <c r="M23" s="6" t="s">
        <v>124</v>
      </c>
      <c r="N23" s="6" t="s">
        <v>144</v>
      </c>
      <c r="O23" s="6"/>
    </row>
    <row r="24" spans="1:15" ht="42" customHeight="1" x14ac:dyDescent="0.3">
      <c r="A24" s="4" t="s">
        <v>145</v>
      </c>
      <c r="B24" s="4" t="s">
        <v>15</v>
      </c>
      <c r="C24" s="4" t="s">
        <v>146</v>
      </c>
      <c r="D24" s="4" t="s">
        <v>147</v>
      </c>
      <c r="E24" s="7" t="s">
        <v>53</v>
      </c>
      <c r="F24" s="11" t="s">
        <v>69</v>
      </c>
      <c r="G24" s="4" t="s">
        <v>97</v>
      </c>
      <c r="H24" s="8" t="s">
        <v>6</v>
      </c>
      <c r="I24" s="9">
        <v>2</v>
      </c>
      <c r="J24" s="9">
        <v>4</v>
      </c>
      <c r="K24" s="9">
        <v>2</v>
      </c>
      <c r="L24" s="9">
        <f t="shared" si="0"/>
        <v>10</v>
      </c>
      <c r="M24" s="4" t="s">
        <v>124</v>
      </c>
      <c r="N24" s="4" t="s">
        <v>148</v>
      </c>
      <c r="O24" s="4"/>
    </row>
    <row r="25" spans="1:15" ht="42" customHeight="1" x14ac:dyDescent="0.3">
      <c r="A25" s="6" t="s">
        <v>149</v>
      </c>
      <c r="B25" s="6" t="s">
        <v>15</v>
      </c>
      <c r="C25" s="6" t="s">
        <v>150</v>
      </c>
      <c r="D25" s="6" t="s">
        <v>151</v>
      </c>
      <c r="E25" s="7" t="s">
        <v>53</v>
      </c>
      <c r="F25" s="11" t="s">
        <v>69</v>
      </c>
      <c r="G25" s="6" t="s">
        <v>97</v>
      </c>
      <c r="H25" s="8" t="s">
        <v>6</v>
      </c>
      <c r="I25" s="10">
        <v>1</v>
      </c>
      <c r="J25" s="10">
        <v>3</v>
      </c>
      <c r="K25" s="10">
        <v>1</v>
      </c>
      <c r="L25" s="10">
        <f t="shared" si="0"/>
        <v>11</v>
      </c>
      <c r="M25" s="6" t="s">
        <v>152</v>
      </c>
      <c r="N25" s="6" t="s">
        <v>153</v>
      </c>
      <c r="O25" s="6"/>
    </row>
    <row r="26" spans="1:15" ht="42" customHeight="1" x14ac:dyDescent="0.3">
      <c r="A26" s="4" t="s">
        <v>33</v>
      </c>
      <c r="B26" s="4" t="s">
        <v>34</v>
      </c>
      <c r="C26" s="4" t="s">
        <v>35</v>
      </c>
      <c r="D26" s="4" t="s">
        <v>154</v>
      </c>
      <c r="E26" s="7" t="s">
        <v>53</v>
      </c>
      <c r="F26" s="5" t="s">
        <v>17</v>
      </c>
      <c r="G26" s="4" t="s">
        <v>18</v>
      </c>
      <c r="H26" s="8" t="s">
        <v>6</v>
      </c>
      <c r="I26" s="9">
        <v>3</v>
      </c>
      <c r="J26" s="9">
        <v>5</v>
      </c>
      <c r="K26" s="9">
        <v>2</v>
      </c>
      <c r="L26" s="9">
        <f t="shared" si="0"/>
        <v>10</v>
      </c>
      <c r="M26" s="4" t="s">
        <v>155</v>
      </c>
      <c r="N26" s="4" t="s">
        <v>156</v>
      </c>
      <c r="O26" s="4"/>
    </row>
    <row r="27" spans="1:15" ht="42" customHeight="1" x14ac:dyDescent="0.3">
      <c r="A27" s="6" t="s">
        <v>36</v>
      </c>
      <c r="B27" s="6" t="s">
        <v>34</v>
      </c>
      <c r="C27" s="6" t="s">
        <v>37</v>
      </c>
      <c r="D27" s="6" t="s">
        <v>157</v>
      </c>
      <c r="E27" s="7" t="s">
        <v>53</v>
      </c>
      <c r="F27" s="5" t="s">
        <v>17</v>
      </c>
      <c r="G27" s="6" t="s">
        <v>18</v>
      </c>
      <c r="H27" s="8" t="s">
        <v>6</v>
      </c>
      <c r="I27" s="10">
        <v>3</v>
      </c>
      <c r="J27" s="10">
        <v>5</v>
      </c>
      <c r="K27" s="10">
        <v>2</v>
      </c>
      <c r="L27" s="10">
        <f t="shared" si="0"/>
        <v>10</v>
      </c>
      <c r="M27" s="6" t="s">
        <v>155</v>
      </c>
      <c r="N27" s="6" t="s">
        <v>158</v>
      </c>
      <c r="O27" s="6"/>
    </row>
    <row r="28" spans="1:15" ht="42" customHeight="1" x14ac:dyDescent="0.3">
      <c r="A28" s="4" t="s">
        <v>159</v>
      </c>
      <c r="B28" s="4" t="s">
        <v>34</v>
      </c>
      <c r="C28" s="4" t="s">
        <v>160</v>
      </c>
      <c r="D28" s="4" t="s">
        <v>161</v>
      </c>
      <c r="E28" s="7" t="s">
        <v>53</v>
      </c>
      <c r="F28" s="11" t="s">
        <v>69</v>
      </c>
      <c r="G28" s="4" t="s">
        <v>97</v>
      </c>
      <c r="H28" s="8" t="s">
        <v>6</v>
      </c>
      <c r="I28" s="9">
        <v>3</v>
      </c>
      <c r="J28" s="9">
        <v>4</v>
      </c>
      <c r="K28" s="9">
        <v>2</v>
      </c>
      <c r="L28" s="9">
        <f t="shared" si="0"/>
        <v>9</v>
      </c>
      <c r="M28" s="4" t="s">
        <v>152</v>
      </c>
      <c r="N28" s="4" t="s">
        <v>162</v>
      </c>
      <c r="O28" s="4"/>
    </row>
    <row r="29" spans="1:15" ht="42" customHeight="1" x14ac:dyDescent="0.3">
      <c r="A29" s="6" t="s">
        <v>163</v>
      </c>
      <c r="B29" s="6" t="s">
        <v>34</v>
      </c>
      <c r="C29" s="6" t="s">
        <v>164</v>
      </c>
      <c r="D29" s="6" t="s">
        <v>165</v>
      </c>
      <c r="E29" s="7" t="s">
        <v>53</v>
      </c>
      <c r="F29" s="11" t="s">
        <v>69</v>
      </c>
      <c r="G29" s="6" t="s">
        <v>97</v>
      </c>
      <c r="H29" s="8" t="s">
        <v>6</v>
      </c>
      <c r="I29" s="10">
        <v>2</v>
      </c>
      <c r="J29" s="10">
        <v>4</v>
      </c>
      <c r="K29" s="10">
        <v>2</v>
      </c>
      <c r="L29" s="10">
        <f t="shared" si="0"/>
        <v>10</v>
      </c>
      <c r="M29" s="6" t="s">
        <v>166</v>
      </c>
      <c r="N29" s="6" t="s">
        <v>167</v>
      </c>
      <c r="O29" s="6"/>
    </row>
    <row r="30" spans="1:15" ht="42" customHeight="1" x14ac:dyDescent="0.3">
      <c r="A30" s="4" t="s">
        <v>168</v>
      </c>
      <c r="B30" s="4" t="s">
        <v>23</v>
      </c>
      <c r="C30" s="4" t="s">
        <v>169</v>
      </c>
      <c r="D30" s="4" t="s">
        <v>170</v>
      </c>
      <c r="E30" s="7" t="s">
        <v>53</v>
      </c>
      <c r="F30" s="5" t="s">
        <v>17</v>
      </c>
      <c r="G30" s="4" t="s">
        <v>18</v>
      </c>
      <c r="H30" s="8" t="s">
        <v>6</v>
      </c>
      <c r="I30" s="9">
        <v>3</v>
      </c>
      <c r="J30" s="9">
        <v>5</v>
      </c>
      <c r="K30" s="9">
        <v>3</v>
      </c>
      <c r="L30" s="9">
        <f t="shared" si="0"/>
        <v>9</v>
      </c>
      <c r="M30" s="4" t="s">
        <v>171</v>
      </c>
      <c r="N30" s="4" t="s">
        <v>172</v>
      </c>
      <c r="O30" s="4"/>
    </row>
    <row r="31" spans="1:15" ht="42" customHeight="1" x14ac:dyDescent="0.3">
      <c r="A31" s="6" t="s">
        <v>38</v>
      </c>
      <c r="B31" s="6" t="s">
        <v>23</v>
      </c>
      <c r="C31" s="6" t="s">
        <v>39</v>
      </c>
      <c r="D31" s="6" t="s">
        <v>173</v>
      </c>
      <c r="E31" s="7" t="s">
        <v>53</v>
      </c>
      <c r="F31" s="5" t="s">
        <v>17</v>
      </c>
      <c r="G31" s="6" t="s">
        <v>18</v>
      </c>
      <c r="H31" s="8" t="s">
        <v>6</v>
      </c>
      <c r="I31" s="10">
        <v>3</v>
      </c>
      <c r="J31" s="10">
        <v>5</v>
      </c>
      <c r="K31" s="10">
        <v>3</v>
      </c>
      <c r="L31" s="10">
        <f t="shared" si="0"/>
        <v>9</v>
      </c>
      <c r="M31" s="6" t="s">
        <v>174</v>
      </c>
      <c r="N31" s="6" t="s">
        <v>175</v>
      </c>
      <c r="O31" s="6" t="s">
        <v>176</v>
      </c>
    </row>
    <row r="32" spans="1:15" ht="42" customHeight="1" x14ac:dyDescent="0.3">
      <c r="A32" s="4" t="s">
        <v>177</v>
      </c>
      <c r="B32" s="4" t="s">
        <v>23</v>
      </c>
      <c r="C32" s="4" t="s">
        <v>178</v>
      </c>
      <c r="D32" s="4" t="s">
        <v>179</v>
      </c>
      <c r="E32" s="7" t="s">
        <v>53</v>
      </c>
      <c r="F32" s="5" t="s">
        <v>17</v>
      </c>
      <c r="G32" s="4" t="s">
        <v>18</v>
      </c>
      <c r="H32" s="8" t="s">
        <v>6</v>
      </c>
      <c r="I32" s="9">
        <v>1</v>
      </c>
      <c r="J32" s="9">
        <v>5</v>
      </c>
      <c r="K32" s="9">
        <v>2</v>
      </c>
      <c r="L32" s="9">
        <f t="shared" si="0"/>
        <v>12</v>
      </c>
      <c r="M32" s="4" t="s">
        <v>38</v>
      </c>
      <c r="N32" s="4" t="s">
        <v>180</v>
      </c>
      <c r="O32" s="4"/>
    </row>
    <row r="33" spans="1:15" ht="42" customHeight="1" x14ac:dyDescent="0.3">
      <c r="A33" s="6" t="s">
        <v>181</v>
      </c>
      <c r="B33" s="6" t="s">
        <v>23</v>
      </c>
      <c r="C33" s="6" t="s">
        <v>182</v>
      </c>
      <c r="D33" s="6" t="s">
        <v>183</v>
      </c>
      <c r="E33" s="7" t="s">
        <v>53</v>
      </c>
      <c r="F33" s="12" t="s">
        <v>96</v>
      </c>
      <c r="G33" s="6" t="s">
        <v>97</v>
      </c>
      <c r="H33" s="8" t="s">
        <v>6</v>
      </c>
      <c r="I33" s="10">
        <v>2</v>
      </c>
      <c r="J33" s="10">
        <v>3</v>
      </c>
      <c r="K33" s="10">
        <v>2</v>
      </c>
      <c r="L33" s="10">
        <f t="shared" si="0"/>
        <v>9</v>
      </c>
      <c r="M33" s="6" t="s">
        <v>38</v>
      </c>
      <c r="N33" s="6" t="s">
        <v>184</v>
      </c>
      <c r="O33" s="6" t="s">
        <v>185</v>
      </c>
    </row>
    <row r="34" spans="1:15" ht="42" customHeight="1" x14ac:dyDescent="0.3">
      <c r="A34" s="4" t="s">
        <v>186</v>
      </c>
      <c r="B34" s="4" t="s">
        <v>187</v>
      </c>
      <c r="C34" s="4" t="s">
        <v>188</v>
      </c>
      <c r="D34" s="4" t="s">
        <v>189</v>
      </c>
      <c r="E34" s="7" t="s">
        <v>53</v>
      </c>
      <c r="F34" s="5" t="s">
        <v>17</v>
      </c>
      <c r="G34" s="4" t="s">
        <v>54</v>
      </c>
      <c r="H34" s="8" t="s">
        <v>6</v>
      </c>
      <c r="I34" s="9">
        <v>3</v>
      </c>
      <c r="J34" s="9">
        <v>5</v>
      </c>
      <c r="K34" s="9">
        <v>3</v>
      </c>
      <c r="L34" s="9">
        <f t="shared" si="0"/>
        <v>9</v>
      </c>
      <c r="M34" s="4" t="s">
        <v>124</v>
      </c>
      <c r="N34" s="4" t="s">
        <v>190</v>
      </c>
      <c r="O34" s="4"/>
    </row>
    <row r="35" spans="1:15" ht="42" customHeight="1" x14ac:dyDescent="0.3">
      <c r="A35" s="6" t="s">
        <v>191</v>
      </c>
      <c r="B35" s="6" t="s">
        <v>187</v>
      </c>
      <c r="C35" s="6" t="s">
        <v>192</v>
      </c>
      <c r="D35" s="6" t="s">
        <v>193</v>
      </c>
      <c r="E35" s="7" t="s">
        <v>53</v>
      </c>
      <c r="F35" s="11" t="s">
        <v>69</v>
      </c>
      <c r="G35" s="6" t="s">
        <v>97</v>
      </c>
      <c r="H35" s="8" t="s">
        <v>6</v>
      </c>
      <c r="I35" s="10">
        <v>2</v>
      </c>
      <c r="J35" s="10">
        <v>4</v>
      </c>
      <c r="K35" s="10">
        <v>2</v>
      </c>
      <c r="L35" s="10">
        <f t="shared" si="0"/>
        <v>10</v>
      </c>
      <c r="M35" s="6" t="s">
        <v>186</v>
      </c>
      <c r="N35" s="6" t="s">
        <v>194</v>
      </c>
      <c r="O35" s="6"/>
    </row>
    <row r="36" spans="1:15" ht="42" customHeight="1" x14ac:dyDescent="0.3">
      <c r="A36" s="4" t="s">
        <v>195</v>
      </c>
      <c r="B36" s="4" t="s">
        <v>187</v>
      </c>
      <c r="C36" s="4" t="s">
        <v>196</v>
      </c>
      <c r="D36" s="4" t="s">
        <v>197</v>
      </c>
      <c r="E36" s="7" t="s">
        <v>53</v>
      </c>
      <c r="F36" s="11" t="s">
        <v>69</v>
      </c>
      <c r="G36" s="4" t="s">
        <v>97</v>
      </c>
      <c r="H36" s="8" t="s">
        <v>6</v>
      </c>
      <c r="I36" s="9">
        <v>2</v>
      </c>
      <c r="J36" s="9">
        <v>3</v>
      </c>
      <c r="K36" s="9">
        <v>2</v>
      </c>
      <c r="L36" s="9">
        <f t="shared" ref="L36:L67" si="1">J36-I36-K36+10</f>
        <v>9</v>
      </c>
      <c r="M36" s="4" t="s">
        <v>62</v>
      </c>
      <c r="N36" s="4" t="s">
        <v>198</v>
      </c>
      <c r="O36" s="4"/>
    </row>
    <row r="37" spans="1:15" ht="42" customHeight="1" x14ac:dyDescent="0.3">
      <c r="A37" s="6" t="s">
        <v>199</v>
      </c>
      <c r="B37" s="6" t="s">
        <v>200</v>
      </c>
      <c r="C37" s="6" t="s">
        <v>201</v>
      </c>
      <c r="D37" s="6" t="s">
        <v>202</v>
      </c>
      <c r="E37" s="7" t="s">
        <v>53</v>
      </c>
      <c r="F37" s="5" t="s">
        <v>17</v>
      </c>
      <c r="G37" s="6" t="s">
        <v>97</v>
      </c>
      <c r="H37" s="8" t="s">
        <v>6</v>
      </c>
      <c r="I37" s="10">
        <v>2</v>
      </c>
      <c r="J37" s="10">
        <v>5</v>
      </c>
      <c r="K37" s="10">
        <v>2</v>
      </c>
      <c r="L37" s="10">
        <f t="shared" si="1"/>
        <v>11</v>
      </c>
      <c r="M37" s="6" t="s">
        <v>136</v>
      </c>
      <c r="N37" s="6" t="s">
        <v>203</v>
      </c>
      <c r="O37" s="6"/>
    </row>
    <row r="38" spans="1:15" ht="42" customHeight="1" x14ac:dyDescent="0.3">
      <c r="A38" s="4" t="s">
        <v>204</v>
      </c>
      <c r="B38" s="4" t="s">
        <v>200</v>
      </c>
      <c r="C38" s="4" t="s">
        <v>205</v>
      </c>
      <c r="D38" s="4" t="s">
        <v>206</v>
      </c>
      <c r="E38" s="7" t="s">
        <v>53</v>
      </c>
      <c r="F38" s="11" t="s">
        <v>69</v>
      </c>
      <c r="G38" s="4" t="s">
        <v>97</v>
      </c>
      <c r="H38" s="8" t="s">
        <v>6</v>
      </c>
      <c r="I38" s="9">
        <v>3</v>
      </c>
      <c r="J38" s="9">
        <v>4</v>
      </c>
      <c r="K38" s="9">
        <v>2</v>
      </c>
      <c r="L38" s="9">
        <f t="shared" si="1"/>
        <v>9</v>
      </c>
      <c r="M38" s="4" t="s">
        <v>207</v>
      </c>
      <c r="N38" s="4" t="s">
        <v>208</v>
      </c>
      <c r="O38" s="4"/>
    </row>
    <row r="39" spans="1:15" ht="42" customHeight="1" x14ac:dyDescent="0.3">
      <c r="A39" s="6" t="s">
        <v>209</v>
      </c>
      <c r="B39" s="6" t="s">
        <v>200</v>
      </c>
      <c r="C39" s="6" t="s">
        <v>210</v>
      </c>
      <c r="D39" s="6" t="s">
        <v>211</v>
      </c>
      <c r="E39" s="7" t="s">
        <v>53</v>
      </c>
      <c r="F39" s="5" t="s">
        <v>17</v>
      </c>
      <c r="G39" s="6" t="s">
        <v>97</v>
      </c>
      <c r="H39" s="8" t="s">
        <v>6</v>
      </c>
      <c r="I39" s="10">
        <v>4</v>
      </c>
      <c r="J39" s="10">
        <v>5</v>
      </c>
      <c r="K39" s="10">
        <v>3</v>
      </c>
      <c r="L39" s="10">
        <f t="shared" si="1"/>
        <v>8</v>
      </c>
      <c r="M39" s="6" t="s">
        <v>18</v>
      </c>
      <c r="N39" s="6" t="s">
        <v>212</v>
      </c>
      <c r="O39" s="6"/>
    </row>
    <row r="40" spans="1:15" ht="42" customHeight="1" x14ac:dyDescent="0.3">
      <c r="A40" s="4" t="s">
        <v>213</v>
      </c>
      <c r="B40" s="4" t="s">
        <v>214</v>
      </c>
      <c r="C40" s="4" t="s">
        <v>215</v>
      </c>
      <c r="D40" s="4" t="s">
        <v>216</v>
      </c>
      <c r="E40" s="7" t="s">
        <v>53</v>
      </c>
      <c r="F40" s="5" t="s">
        <v>17</v>
      </c>
      <c r="G40" s="4" t="s">
        <v>217</v>
      </c>
      <c r="H40" s="8" t="s">
        <v>6</v>
      </c>
      <c r="I40" s="9">
        <v>2</v>
      </c>
      <c r="J40" s="9">
        <v>4</v>
      </c>
      <c r="K40" s="9">
        <v>2</v>
      </c>
      <c r="L40" s="9">
        <f t="shared" si="1"/>
        <v>10</v>
      </c>
      <c r="M40" s="4" t="s">
        <v>209</v>
      </c>
      <c r="N40" s="4" t="s">
        <v>218</v>
      </c>
      <c r="O40" s="4"/>
    </row>
    <row r="41" spans="1:15" ht="42" customHeight="1" x14ac:dyDescent="0.3">
      <c r="A41" s="6" t="s">
        <v>219</v>
      </c>
      <c r="B41" s="6" t="s">
        <v>214</v>
      </c>
      <c r="C41" s="6" t="s">
        <v>220</v>
      </c>
      <c r="D41" s="6" t="s">
        <v>221</v>
      </c>
      <c r="E41" s="7" t="s">
        <v>53</v>
      </c>
      <c r="F41" s="5" t="s">
        <v>17</v>
      </c>
      <c r="G41" s="6" t="s">
        <v>222</v>
      </c>
      <c r="H41" s="8" t="s">
        <v>6</v>
      </c>
      <c r="I41" s="10">
        <v>2</v>
      </c>
      <c r="J41" s="10">
        <v>5</v>
      </c>
      <c r="K41" s="10">
        <v>2</v>
      </c>
      <c r="L41" s="10">
        <f t="shared" si="1"/>
        <v>11</v>
      </c>
      <c r="M41" s="6" t="s">
        <v>209</v>
      </c>
      <c r="N41" s="6" t="s">
        <v>223</v>
      </c>
      <c r="O41" s="6"/>
    </row>
    <row r="42" spans="1:15" ht="42" customHeight="1" x14ac:dyDescent="0.3">
      <c r="A42" s="4" t="s">
        <v>14</v>
      </c>
      <c r="B42" s="4" t="s">
        <v>15</v>
      </c>
      <c r="C42" s="4" t="s">
        <v>16</v>
      </c>
      <c r="D42" s="4" t="s">
        <v>224</v>
      </c>
      <c r="E42" s="7" t="s">
        <v>53</v>
      </c>
      <c r="F42" s="5" t="s">
        <v>17</v>
      </c>
      <c r="G42" s="4" t="s">
        <v>18</v>
      </c>
      <c r="H42" s="8" t="s">
        <v>6</v>
      </c>
      <c r="I42" s="9">
        <v>2</v>
      </c>
      <c r="J42" s="9">
        <v>5</v>
      </c>
      <c r="K42" s="9">
        <v>1</v>
      </c>
      <c r="L42" s="9">
        <f t="shared" si="1"/>
        <v>12</v>
      </c>
      <c r="M42" s="4" t="s">
        <v>31</v>
      </c>
      <c r="N42" s="4" t="s">
        <v>225</v>
      </c>
      <c r="O42" s="4" t="s">
        <v>226</v>
      </c>
    </row>
    <row r="43" spans="1:15" ht="42" customHeight="1" x14ac:dyDescent="0.3">
      <c r="A43" s="6" t="s">
        <v>20</v>
      </c>
      <c r="B43" s="6" t="s">
        <v>15</v>
      </c>
      <c r="C43" s="6" t="s">
        <v>21</v>
      </c>
      <c r="D43" s="6" t="s">
        <v>227</v>
      </c>
      <c r="E43" s="7" t="s">
        <v>53</v>
      </c>
      <c r="F43" s="5" t="s">
        <v>17</v>
      </c>
      <c r="G43" s="6" t="s">
        <v>18</v>
      </c>
      <c r="H43" s="8" t="s">
        <v>6</v>
      </c>
      <c r="I43" s="10">
        <v>1</v>
      </c>
      <c r="J43" s="10">
        <v>5</v>
      </c>
      <c r="K43" s="10">
        <v>1</v>
      </c>
      <c r="L43" s="10">
        <f t="shared" si="1"/>
        <v>13</v>
      </c>
      <c r="M43" s="6" t="s">
        <v>228</v>
      </c>
      <c r="N43" s="6" t="s">
        <v>229</v>
      </c>
      <c r="O43" s="6" t="s">
        <v>230</v>
      </c>
    </row>
    <row r="44" spans="1:15" ht="42" customHeight="1" x14ac:dyDescent="0.3">
      <c r="A44" s="4" t="s">
        <v>22</v>
      </c>
      <c r="B44" s="4" t="s">
        <v>23</v>
      </c>
      <c r="C44" s="4" t="s">
        <v>24</v>
      </c>
      <c r="D44" s="4" t="s">
        <v>231</v>
      </c>
      <c r="E44" s="7" t="s">
        <v>53</v>
      </c>
      <c r="F44" s="5" t="s">
        <v>17</v>
      </c>
      <c r="G44" s="4" t="s">
        <v>18</v>
      </c>
      <c r="H44" s="8" t="s">
        <v>6</v>
      </c>
      <c r="I44" s="9">
        <v>1</v>
      </c>
      <c r="J44" s="9">
        <v>5</v>
      </c>
      <c r="K44" s="9">
        <v>1</v>
      </c>
      <c r="L44" s="9">
        <f t="shared" si="1"/>
        <v>13</v>
      </c>
      <c r="M44" s="4" t="s">
        <v>38</v>
      </c>
      <c r="N44" s="4" t="s">
        <v>232</v>
      </c>
      <c r="O44" s="4" t="s">
        <v>233</v>
      </c>
    </row>
    <row r="45" spans="1:15" ht="42" customHeight="1" x14ac:dyDescent="0.3">
      <c r="A45" s="6" t="s">
        <v>25</v>
      </c>
      <c r="B45" s="6" t="s">
        <v>26</v>
      </c>
      <c r="C45" s="6" t="s">
        <v>27</v>
      </c>
      <c r="D45" s="6" t="s">
        <v>234</v>
      </c>
      <c r="E45" s="7" t="s">
        <v>53</v>
      </c>
      <c r="F45" s="5" t="s">
        <v>17</v>
      </c>
      <c r="G45" s="6" t="s">
        <v>18</v>
      </c>
      <c r="H45" s="8" t="s">
        <v>6</v>
      </c>
      <c r="I45" s="10">
        <v>1</v>
      </c>
      <c r="J45" s="10">
        <v>4</v>
      </c>
      <c r="K45" s="10">
        <v>1</v>
      </c>
      <c r="L45" s="10">
        <f t="shared" si="1"/>
        <v>12</v>
      </c>
      <c r="M45" s="6" t="s">
        <v>186</v>
      </c>
      <c r="N45" s="6" t="s">
        <v>235</v>
      </c>
      <c r="O45" s="6" t="s">
        <v>236</v>
      </c>
    </row>
    <row r="46" spans="1:15" ht="42" customHeight="1" x14ac:dyDescent="0.3">
      <c r="A46" s="13" t="s">
        <v>237</v>
      </c>
      <c r="B46" s="13" t="s">
        <v>238</v>
      </c>
      <c r="C46" s="13" t="s">
        <v>239</v>
      </c>
      <c r="D46" s="13" t="s">
        <v>240</v>
      </c>
      <c r="E46" s="14" t="s">
        <v>241</v>
      </c>
      <c r="F46" s="12" t="s">
        <v>96</v>
      </c>
      <c r="G46" s="13" t="s">
        <v>242</v>
      </c>
      <c r="H46" s="8" t="s">
        <v>6</v>
      </c>
      <c r="I46" s="15">
        <v>5</v>
      </c>
      <c r="J46" s="15">
        <v>4</v>
      </c>
      <c r="K46" s="15">
        <v>5</v>
      </c>
      <c r="L46" s="15">
        <f t="shared" si="1"/>
        <v>4</v>
      </c>
      <c r="M46" s="13" t="s">
        <v>243</v>
      </c>
      <c r="N46" s="13" t="s">
        <v>244</v>
      </c>
      <c r="O46" s="13" t="s">
        <v>245</v>
      </c>
    </row>
    <row r="47" spans="1:15" ht="42" customHeight="1" x14ac:dyDescent="0.3">
      <c r="A47" s="16" t="s">
        <v>246</v>
      </c>
      <c r="B47" s="16" t="s">
        <v>238</v>
      </c>
      <c r="C47" s="16" t="s">
        <v>247</v>
      </c>
      <c r="D47" s="16" t="s">
        <v>248</v>
      </c>
      <c r="E47" s="14" t="s">
        <v>241</v>
      </c>
      <c r="F47" s="12" t="s">
        <v>96</v>
      </c>
      <c r="G47" s="16" t="s">
        <v>242</v>
      </c>
      <c r="H47" s="8" t="s">
        <v>6</v>
      </c>
      <c r="I47" s="17">
        <v>4</v>
      </c>
      <c r="J47" s="17">
        <v>3</v>
      </c>
      <c r="K47" s="17">
        <v>4</v>
      </c>
      <c r="L47" s="17">
        <f t="shared" si="1"/>
        <v>5</v>
      </c>
      <c r="M47" s="16" t="s">
        <v>249</v>
      </c>
      <c r="N47" s="16" t="s">
        <v>244</v>
      </c>
      <c r="O47" s="16" t="s">
        <v>250</v>
      </c>
    </row>
    <row r="48" spans="1:15" ht="42" customHeight="1" x14ac:dyDescent="0.3">
      <c r="A48" s="13" t="s">
        <v>251</v>
      </c>
      <c r="B48" s="13" t="s">
        <v>238</v>
      </c>
      <c r="C48" s="13" t="s">
        <v>252</v>
      </c>
      <c r="D48" s="13" t="s">
        <v>253</v>
      </c>
      <c r="E48" s="14" t="s">
        <v>241</v>
      </c>
      <c r="F48" s="18" t="s">
        <v>254</v>
      </c>
      <c r="G48" s="13" t="s">
        <v>242</v>
      </c>
      <c r="H48" s="8" t="s">
        <v>6</v>
      </c>
      <c r="I48" s="15">
        <v>5</v>
      </c>
      <c r="J48" s="15">
        <v>2</v>
      </c>
      <c r="K48" s="15">
        <v>5</v>
      </c>
      <c r="L48" s="15">
        <f t="shared" si="1"/>
        <v>2</v>
      </c>
      <c r="M48" s="13" t="s">
        <v>255</v>
      </c>
      <c r="N48" s="13" t="s">
        <v>256</v>
      </c>
      <c r="O48" s="13" t="s">
        <v>257</v>
      </c>
    </row>
    <row r="49" spans="1:15" ht="42" customHeight="1" x14ac:dyDescent="0.3">
      <c r="A49" s="16" t="s">
        <v>258</v>
      </c>
      <c r="B49" s="16" t="s">
        <v>238</v>
      </c>
      <c r="C49" s="16" t="s">
        <v>259</v>
      </c>
      <c r="D49" s="16" t="s">
        <v>260</v>
      </c>
      <c r="E49" s="14" t="s">
        <v>241</v>
      </c>
      <c r="F49" s="12" t="s">
        <v>96</v>
      </c>
      <c r="G49" s="16" t="s">
        <v>242</v>
      </c>
      <c r="H49" s="8" t="s">
        <v>6</v>
      </c>
      <c r="I49" s="17">
        <v>3</v>
      </c>
      <c r="J49" s="17">
        <v>3</v>
      </c>
      <c r="K49" s="17">
        <v>3</v>
      </c>
      <c r="L49" s="17">
        <f t="shared" si="1"/>
        <v>7</v>
      </c>
      <c r="M49" s="16" t="s">
        <v>261</v>
      </c>
      <c r="N49" s="16" t="s">
        <v>244</v>
      </c>
      <c r="O49" s="16" t="s">
        <v>262</v>
      </c>
    </row>
    <row r="50" spans="1:15" ht="42" customHeight="1" x14ac:dyDescent="0.3">
      <c r="A50" s="13" t="s">
        <v>263</v>
      </c>
      <c r="B50" s="13" t="s">
        <v>238</v>
      </c>
      <c r="C50" s="13" t="s">
        <v>264</v>
      </c>
      <c r="D50" s="13" t="s">
        <v>265</v>
      </c>
      <c r="E50" s="14" t="s">
        <v>241</v>
      </c>
      <c r="F50" s="12" t="s">
        <v>96</v>
      </c>
      <c r="G50" s="13" t="s">
        <v>242</v>
      </c>
      <c r="H50" s="8" t="s">
        <v>6</v>
      </c>
      <c r="I50" s="15">
        <v>4</v>
      </c>
      <c r="J50" s="15">
        <v>4</v>
      </c>
      <c r="K50" s="15">
        <v>4</v>
      </c>
      <c r="L50" s="15">
        <f t="shared" si="1"/>
        <v>6</v>
      </c>
      <c r="M50" s="13" t="s">
        <v>266</v>
      </c>
      <c r="N50" s="13" t="s">
        <v>244</v>
      </c>
      <c r="O50" s="13"/>
    </row>
    <row r="51" spans="1:15" ht="42" customHeight="1" x14ac:dyDescent="0.3">
      <c r="A51" s="16" t="s">
        <v>267</v>
      </c>
      <c r="B51" s="16" t="s">
        <v>238</v>
      </c>
      <c r="C51" s="16" t="s">
        <v>268</v>
      </c>
      <c r="D51" s="16" t="s">
        <v>269</v>
      </c>
      <c r="E51" s="14" t="s">
        <v>241</v>
      </c>
      <c r="F51" s="18" t="s">
        <v>254</v>
      </c>
      <c r="G51" s="16" t="s">
        <v>242</v>
      </c>
      <c r="H51" s="8" t="s">
        <v>6</v>
      </c>
      <c r="I51" s="17">
        <v>5</v>
      </c>
      <c r="J51" s="17">
        <v>3</v>
      </c>
      <c r="K51" s="17">
        <v>5</v>
      </c>
      <c r="L51" s="17">
        <f t="shared" si="1"/>
        <v>3</v>
      </c>
      <c r="M51" s="16" t="s">
        <v>270</v>
      </c>
      <c r="N51" s="16" t="s">
        <v>271</v>
      </c>
      <c r="O51" s="16"/>
    </row>
    <row r="52" spans="1:15" ht="42" customHeight="1" x14ac:dyDescent="0.3">
      <c r="A52" s="13" t="s">
        <v>272</v>
      </c>
      <c r="B52" s="13" t="s">
        <v>238</v>
      </c>
      <c r="C52" s="13" t="s">
        <v>273</v>
      </c>
      <c r="D52" s="13" t="s">
        <v>274</v>
      </c>
      <c r="E52" s="14" t="s">
        <v>241</v>
      </c>
      <c r="F52" s="18" t="s">
        <v>254</v>
      </c>
      <c r="G52" s="13" t="s">
        <v>242</v>
      </c>
      <c r="H52" s="8" t="s">
        <v>6</v>
      </c>
      <c r="I52" s="15">
        <v>5</v>
      </c>
      <c r="J52" s="15">
        <v>4</v>
      </c>
      <c r="K52" s="15">
        <v>5</v>
      </c>
      <c r="L52" s="15">
        <f t="shared" si="1"/>
        <v>4</v>
      </c>
      <c r="M52" s="13" t="s">
        <v>275</v>
      </c>
      <c r="N52" s="13" t="s">
        <v>276</v>
      </c>
      <c r="O52" s="13"/>
    </row>
    <row r="53" spans="1:15" ht="42" customHeight="1" x14ac:dyDescent="0.3">
      <c r="A53" s="16" t="s">
        <v>277</v>
      </c>
      <c r="B53" s="16" t="s">
        <v>238</v>
      </c>
      <c r="C53" s="16" t="s">
        <v>278</v>
      </c>
      <c r="D53" s="16" t="s">
        <v>279</v>
      </c>
      <c r="E53" s="14" t="s">
        <v>241</v>
      </c>
      <c r="F53" s="12" t="s">
        <v>96</v>
      </c>
      <c r="G53" s="16" t="s">
        <v>242</v>
      </c>
      <c r="H53" s="8" t="s">
        <v>6</v>
      </c>
      <c r="I53" s="17">
        <v>5</v>
      </c>
      <c r="J53" s="17">
        <v>4</v>
      </c>
      <c r="K53" s="17">
        <v>5</v>
      </c>
      <c r="L53" s="17">
        <f t="shared" si="1"/>
        <v>4</v>
      </c>
      <c r="M53" s="16" t="s">
        <v>280</v>
      </c>
      <c r="N53" s="16" t="s">
        <v>281</v>
      </c>
      <c r="O53" s="16"/>
    </row>
  </sheetData>
  <mergeCells count="1">
    <mergeCell ref="A1:O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A5C35"/>
  </sheetPr>
  <dimension ref="A1:F14"/>
  <sheetViews>
    <sheetView zoomScaleNormal="100" workbookViewId="0">
      <pane ySplit="2" topLeftCell="A3" activePane="bottomLeft" state="frozen"/>
      <selection pane="bottomLeft"/>
    </sheetView>
  </sheetViews>
  <sheetFormatPr defaultColWidth="8.6640625" defaultRowHeight="14.4" x14ac:dyDescent="0.3"/>
  <cols>
    <col min="1" max="1" width="10" customWidth="1"/>
    <col min="2" max="2" width="18" customWidth="1"/>
    <col min="3" max="3" width="42" customWidth="1"/>
    <col min="4" max="4" width="36" customWidth="1"/>
    <col min="5" max="5" width="20" customWidth="1"/>
    <col min="6" max="6" width="10" customWidth="1"/>
  </cols>
  <sheetData>
    <row r="1" spans="1:6" ht="21.75" customHeight="1" x14ac:dyDescent="0.3">
      <c r="A1" s="1" t="s">
        <v>282</v>
      </c>
      <c r="B1" s="1"/>
      <c r="C1" s="1"/>
      <c r="D1" s="1"/>
      <c r="E1" s="1"/>
      <c r="F1" s="1"/>
    </row>
    <row r="2" spans="1:6" ht="19.5" customHeight="1" x14ac:dyDescent="0.3">
      <c r="A2" s="3" t="s">
        <v>283</v>
      </c>
      <c r="B2" s="3" t="s">
        <v>8</v>
      </c>
      <c r="C2" s="3" t="s">
        <v>284</v>
      </c>
      <c r="D2" s="3" t="s">
        <v>48</v>
      </c>
      <c r="E2" s="3" t="s">
        <v>285</v>
      </c>
      <c r="F2" s="3" t="s">
        <v>286</v>
      </c>
    </row>
    <row r="3" spans="1:6" ht="43.5" customHeight="1" x14ac:dyDescent="0.3">
      <c r="A3" s="6" t="s">
        <v>287</v>
      </c>
      <c r="B3" s="6" t="s">
        <v>75</v>
      </c>
      <c r="C3" s="6" t="s">
        <v>288</v>
      </c>
      <c r="D3" s="6" t="s">
        <v>289</v>
      </c>
      <c r="E3" s="6" t="s">
        <v>290</v>
      </c>
      <c r="F3" s="5" t="s">
        <v>17</v>
      </c>
    </row>
    <row r="4" spans="1:6" ht="43.5" customHeight="1" x14ac:dyDescent="0.3">
      <c r="A4" s="4" t="s">
        <v>291</v>
      </c>
      <c r="B4" s="4" t="s">
        <v>107</v>
      </c>
      <c r="C4" s="4" t="s">
        <v>292</v>
      </c>
      <c r="D4" s="4" t="s">
        <v>293</v>
      </c>
      <c r="E4" s="4" t="s">
        <v>294</v>
      </c>
      <c r="F4" s="5" t="s">
        <v>17</v>
      </c>
    </row>
    <row r="5" spans="1:6" ht="43.5" customHeight="1" x14ac:dyDescent="0.3">
      <c r="A5" s="6" t="s">
        <v>295</v>
      </c>
      <c r="B5" s="6" t="s">
        <v>15</v>
      </c>
      <c r="C5" s="6" t="s">
        <v>296</v>
      </c>
      <c r="D5" s="6" t="s">
        <v>297</v>
      </c>
      <c r="E5" s="6" t="s">
        <v>298</v>
      </c>
      <c r="F5" s="5" t="s">
        <v>17</v>
      </c>
    </row>
    <row r="6" spans="1:6" ht="43.5" customHeight="1" x14ac:dyDescent="0.3">
      <c r="A6" s="4" t="s">
        <v>299</v>
      </c>
      <c r="B6" s="4" t="s">
        <v>15</v>
      </c>
      <c r="C6" s="4" t="s">
        <v>300</v>
      </c>
      <c r="D6" s="4" t="s">
        <v>301</v>
      </c>
      <c r="E6" s="4" t="s">
        <v>136</v>
      </c>
      <c r="F6" s="5" t="s">
        <v>17</v>
      </c>
    </row>
    <row r="7" spans="1:6" ht="43.5" customHeight="1" x14ac:dyDescent="0.3">
      <c r="A7" s="6" t="s">
        <v>302</v>
      </c>
      <c r="B7" s="6" t="s">
        <v>34</v>
      </c>
      <c r="C7" s="6" t="s">
        <v>303</v>
      </c>
      <c r="D7" s="6" t="s">
        <v>304</v>
      </c>
      <c r="E7" s="6" t="s">
        <v>33</v>
      </c>
      <c r="F7" s="5" t="s">
        <v>17</v>
      </c>
    </row>
    <row r="8" spans="1:6" ht="43.5" customHeight="1" x14ac:dyDescent="0.3">
      <c r="A8" s="4" t="s">
        <v>305</v>
      </c>
      <c r="B8" s="4" t="s">
        <v>34</v>
      </c>
      <c r="C8" s="4" t="s">
        <v>306</v>
      </c>
      <c r="D8" s="4" t="s">
        <v>307</v>
      </c>
      <c r="E8" s="4" t="s">
        <v>308</v>
      </c>
      <c r="F8" s="5" t="s">
        <v>17</v>
      </c>
    </row>
    <row r="9" spans="1:6" ht="43.5" customHeight="1" x14ac:dyDescent="0.3">
      <c r="A9" s="6" t="s">
        <v>309</v>
      </c>
      <c r="B9" s="6" t="s">
        <v>23</v>
      </c>
      <c r="C9" s="6" t="s">
        <v>310</v>
      </c>
      <c r="D9" s="6" t="s">
        <v>311</v>
      </c>
      <c r="E9" s="6" t="s">
        <v>312</v>
      </c>
      <c r="F9" s="5" t="s">
        <v>17</v>
      </c>
    </row>
    <row r="10" spans="1:6" ht="43.5" customHeight="1" x14ac:dyDescent="0.3">
      <c r="A10" s="4" t="s">
        <v>313</v>
      </c>
      <c r="B10" s="4" t="s">
        <v>187</v>
      </c>
      <c r="C10" s="4" t="s">
        <v>314</v>
      </c>
      <c r="D10" s="4" t="s">
        <v>315</v>
      </c>
      <c r="E10" s="4" t="s">
        <v>316</v>
      </c>
      <c r="F10" s="11" t="s">
        <v>69</v>
      </c>
    </row>
    <row r="11" spans="1:6" ht="43.5" customHeight="1" x14ac:dyDescent="0.3">
      <c r="A11" s="6" t="s">
        <v>317</v>
      </c>
      <c r="B11" s="6" t="s">
        <v>318</v>
      </c>
      <c r="C11" s="6" t="s">
        <v>319</v>
      </c>
      <c r="D11" s="6" t="s">
        <v>320</v>
      </c>
      <c r="E11" s="6" t="s">
        <v>219</v>
      </c>
      <c r="F11" s="5" t="s">
        <v>17</v>
      </c>
    </row>
    <row r="12" spans="1:6" ht="43.5" customHeight="1" x14ac:dyDescent="0.3">
      <c r="A12" s="4" t="s">
        <v>321</v>
      </c>
      <c r="B12" s="4" t="s">
        <v>15</v>
      </c>
      <c r="C12" s="4" t="s">
        <v>322</v>
      </c>
      <c r="D12" s="4" t="s">
        <v>323</v>
      </c>
      <c r="E12" s="4" t="s">
        <v>14</v>
      </c>
      <c r="F12" s="5" t="s">
        <v>17</v>
      </c>
    </row>
    <row r="13" spans="1:6" ht="43.5" customHeight="1" x14ac:dyDescent="0.3">
      <c r="A13" s="6" t="s">
        <v>324</v>
      </c>
      <c r="B13" s="6" t="s">
        <v>15</v>
      </c>
      <c r="C13" s="6" t="s">
        <v>325</v>
      </c>
      <c r="D13" s="6" t="s">
        <v>326</v>
      </c>
      <c r="E13" s="6" t="s">
        <v>20</v>
      </c>
      <c r="F13" s="5" t="s">
        <v>17</v>
      </c>
    </row>
    <row r="14" spans="1:6" ht="43.5" customHeight="1" x14ac:dyDescent="0.3">
      <c r="A14" s="4" t="s">
        <v>327</v>
      </c>
      <c r="B14" s="4" t="s">
        <v>23</v>
      </c>
      <c r="C14" s="4" t="s">
        <v>328</v>
      </c>
      <c r="D14" s="4" t="s">
        <v>329</v>
      </c>
      <c r="E14" s="4" t="s">
        <v>22</v>
      </c>
      <c r="F14" s="5" t="s">
        <v>17</v>
      </c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C05C00"/>
  </sheetPr>
  <dimension ref="A1:F11"/>
  <sheetViews>
    <sheetView zoomScaleNormal="100" workbookViewId="0">
      <pane ySplit="2" topLeftCell="A3" activePane="bottomLeft" state="frozen"/>
      <selection pane="bottomLeft"/>
    </sheetView>
  </sheetViews>
  <sheetFormatPr defaultColWidth="8.6640625" defaultRowHeight="14.4" x14ac:dyDescent="0.3"/>
  <cols>
    <col min="1" max="1" width="30" customWidth="1"/>
    <col min="2" max="2" width="22" customWidth="1"/>
    <col min="3" max="4" width="34" customWidth="1"/>
    <col min="5" max="5" width="26" customWidth="1"/>
    <col min="6" max="6" width="14" customWidth="1"/>
  </cols>
  <sheetData>
    <row r="1" spans="1:6" ht="21.75" customHeight="1" x14ac:dyDescent="0.3">
      <c r="A1" s="1" t="s">
        <v>330</v>
      </c>
      <c r="B1" s="1"/>
      <c r="C1" s="1"/>
      <c r="D1" s="1"/>
      <c r="E1" s="1"/>
      <c r="F1" s="1"/>
    </row>
    <row r="2" spans="1:6" ht="19.5" customHeight="1" x14ac:dyDescent="0.3">
      <c r="A2" s="3" t="s">
        <v>11</v>
      </c>
      <c r="B2" s="3" t="s">
        <v>331</v>
      </c>
      <c r="C2" s="3" t="s">
        <v>332</v>
      </c>
      <c r="D2" s="3" t="s">
        <v>333</v>
      </c>
      <c r="E2" s="3" t="s">
        <v>334</v>
      </c>
      <c r="F2" s="3" t="s">
        <v>43</v>
      </c>
    </row>
    <row r="3" spans="1:6" ht="39.75" customHeight="1" x14ac:dyDescent="0.3">
      <c r="A3" s="6" t="s">
        <v>335</v>
      </c>
      <c r="B3" s="6" t="s">
        <v>336</v>
      </c>
      <c r="C3" s="6" t="s">
        <v>337</v>
      </c>
      <c r="D3" s="6" t="s">
        <v>338</v>
      </c>
      <c r="E3" s="6" t="s">
        <v>339</v>
      </c>
      <c r="F3" s="7" t="s">
        <v>5</v>
      </c>
    </row>
    <row r="4" spans="1:6" ht="39.75" customHeight="1" x14ac:dyDescent="0.3">
      <c r="A4" s="4" t="s">
        <v>340</v>
      </c>
      <c r="B4" s="4" t="s">
        <v>341</v>
      </c>
      <c r="C4" s="4" t="s">
        <v>342</v>
      </c>
      <c r="D4" s="4" t="s">
        <v>343</v>
      </c>
      <c r="E4" s="4" t="s">
        <v>344</v>
      </c>
      <c r="F4" s="7" t="s">
        <v>5</v>
      </c>
    </row>
    <row r="5" spans="1:6" ht="39.75" customHeight="1" x14ac:dyDescent="0.3">
      <c r="A5" s="6" t="s">
        <v>345</v>
      </c>
      <c r="B5" s="6" t="s">
        <v>346</v>
      </c>
      <c r="C5" s="6" t="s">
        <v>347</v>
      </c>
      <c r="D5" s="6" t="s">
        <v>348</v>
      </c>
      <c r="E5" s="6" t="s">
        <v>349</v>
      </c>
      <c r="F5" s="19" t="s">
        <v>350</v>
      </c>
    </row>
    <row r="6" spans="1:6" ht="39.75" customHeight="1" x14ac:dyDescent="0.3">
      <c r="A6" s="4" t="s">
        <v>54</v>
      </c>
      <c r="B6" s="4" t="s">
        <v>351</v>
      </c>
      <c r="C6" s="4" t="s">
        <v>352</v>
      </c>
      <c r="D6" s="4" t="s">
        <v>353</v>
      </c>
      <c r="E6" s="4" t="s">
        <v>354</v>
      </c>
      <c r="F6" s="8" t="s">
        <v>6</v>
      </c>
    </row>
    <row r="7" spans="1:6" ht="39.75" customHeight="1" x14ac:dyDescent="0.3">
      <c r="A7" s="6" t="s">
        <v>18</v>
      </c>
      <c r="B7" s="6" t="s">
        <v>355</v>
      </c>
      <c r="C7" s="6" t="s">
        <v>356</v>
      </c>
      <c r="D7" s="6" t="s">
        <v>357</v>
      </c>
      <c r="E7" s="6" t="s">
        <v>358</v>
      </c>
      <c r="F7" s="8" t="s">
        <v>6</v>
      </c>
    </row>
    <row r="8" spans="1:6" ht="39.75" customHeight="1" x14ac:dyDescent="0.3">
      <c r="A8" s="4" t="s">
        <v>359</v>
      </c>
      <c r="B8" s="4" t="s">
        <v>360</v>
      </c>
      <c r="C8" s="4" t="s">
        <v>361</v>
      </c>
      <c r="D8" s="4" t="s">
        <v>362</v>
      </c>
      <c r="E8" s="4" t="s">
        <v>363</v>
      </c>
      <c r="F8" s="8" t="s">
        <v>6</v>
      </c>
    </row>
    <row r="9" spans="1:6" ht="39.75" customHeight="1" x14ac:dyDescent="0.3">
      <c r="A9" s="6" t="s">
        <v>217</v>
      </c>
      <c r="B9" s="6" t="s">
        <v>364</v>
      </c>
      <c r="C9" s="6" t="s">
        <v>365</v>
      </c>
      <c r="D9" s="6" t="s">
        <v>366</v>
      </c>
      <c r="E9" s="6" t="s">
        <v>213</v>
      </c>
      <c r="F9" s="8" t="s">
        <v>6</v>
      </c>
    </row>
    <row r="10" spans="1:6" ht="39.75" customHeight="1" x14ac:dyDescent="0.3">
      <c r="A10" s="4" t="s">
        <v>367</v>
      </c>
      <c r="B10" s="4" t="s">
        <v>368</v>
      </c>
      <c r="C10" s="4" t="s">
        <v>369</v>
      </c>
      <c r="D10" s="4" t="s">
        <v>370</v>
      </c>
      <c r="E10" s="4" t="s">
        <v>219</v>
      </c>
      <c r="F10" s="8" t="s">
        <v>6</v>
      </c>
    </row>
    <row r="11" spans="1:6" ht="39.75" customHeight="1" x14ac:dyDescent="0.3">
      <c r="A11" s="6" t="s">
        <v>242</v>
      </c>
      <c r="B11" s="6" t="s">
        <v>371</v>
      </c>
      <c r="C11" s="6" t="s">
        <v>372</v>
      </c>
      <c r="D11" s="6" t="s">
        <v>373</v>
      </c>
      <c r="E11" s="6" t="s">
        <v>374</v>
      </c>
      <c r="F11" s="14" t="s">
        <v>375</v>
      </c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7A9BB5"/>
  </sheetPr>
  <dimension ref="A1:D10"/>
  <sheetViews>
    <sheetView zoomScaleNormal="100" workbookViewId="0"/>
  </sheetViews>
  <sheetFormatPr defaultColWidth="8.6640625" defaultRowHeight="14.4" x14ac:dyDescent="0.3"/>
  <cols>
    <col min="1" max="1" width="18" customWidth="1"/>
    <col min="2" max="2" width="24" customWidth="1"/>
    <col min="3" max="3" width="34" customWidth="1"/>
    <col min="4" max="4" width="18" customWidth="1"/>
  </cols>
  <sheetData>
    <row r="1" spans="1:4" ht="21.75" customHeight="1" x14ac:dyDescent="0.3">
      <c r="A1" s="1" t="s">
        <v>376</v>
      </c>
      <c r="B1" s="1"/>
      <c r="C1" s="1"/>
      <c r="D1" s="1"/>
    </row>
    <row r="2" spans="1:4" ht="19.5" customHeight="1" x14ac:dyDescent="0.3">
      <c r="A2" s="3" t="s">
        <v>377</v>
      </c>
      <c r="B2" s="3" t="s">
        <v>378</v>
      </c>
      <c r="C2" s="3" t="s">
        <v>379</v>
      </c>
      <c r="D2" s="3" t="s">
        <v>380</v>
      </c>
    </row>
    <row r="3" spans="1:4" ht="36" customHeight="1" x14ac:dyDescent="0.3">
      <c r="A3" s="6" t="s">
        <v>42</v>
      </c>
      <c r="B3" s="6" t="s">
        <v>381</v>
      </c>
      <c r="C3" s="6" t="s">
        <v>382</v>
      </c>
      <c r="D3" s="6" t="s">
        <v>53</v>
      </c>
    </row>
    <row r="4" spans="1:4" ht="36" customHeight="1" x14ac:dyDescent="0.3">
      <c r="A4" s="4" t="s">
        <v>10</v>
      </c>
      <c r="B4" s="4" t="s">
        <v>383</v>
      </c>
      <c r="C4" s="4" t="s">
        <v>384</v>
      </c>
      <c r="D4" s="4" t="s">
        <v>17</v>
      </c>
    </row>
    <row r="5" spans="1:4" ht="36" customHeight="1" x14ac:dyDescent="0.3">
      <c r="A5" s="6" t="s">
        <v>385</v>
      </c>
      <c r="B5" s="6" t="s">
        <v>386</v>
      </c>
      <c r="C5" s="6" t="s">
        <v>387</v>
      </c>
      <c r="D5" s="6" t="s">
        <v>388</v>
      </c>
    </row>
    <row r="6" spans="1:4" ht="36" customHeight="1" x14ac:dyDescent="0.3">
      <c r="A6" s="4" t="s">
        <v>389</v>
      </c>
      <c r="B6" s="4" t="s">
        <v>390</v>
      </c>
      <c r="C6" s="4" t="s">
        <v>391</v>
      </c>
      <c r="D6" s="4" t="s">
        <v>392</v>
      </c>
    </row>
    <row r="7" spans="1:4" ht="36" customHeight="1" x14ac:dyDescent="0.3">
      <c r="A7" s="6" t="s">
        <v>393</v>
      </c>
      <c r="B7" s="6" t="s">
        <v>394</v>
      </c>
      <c r="C7" s="6" t="s">
        <v>395</v>
      </c>
      <c r="D7" s="6" t="s">
        <v>396</v>
      </c>
    </row>
    <row r="8" spans="1:4" ht="36" customHeight="1" x14ac:dyDescent="0.3">
      <c r="A8" s="4" t="s">
        <v>12</v>
      </c>
      <c r="B8" s="4" t="s">
        <v>397</v>
      </c>
      <c r="C8" s="4" t="s">
        <v>398</v>
      </c>
      <c r="D8" s="4" t="s">
        <v>399</v>
      </c>
    </row>
    <row r="9" spans="1:4" ht="36" customHeight="1" x14ac:dyDescent="0.3">
      <c r="A9" s="6" t="s">
        <v>43</v>
      </c>
      <c r="B9" s="6" t="s">
        <v>400</v>
      </c>
      <c r="C9" s="6" t="s">
        <v>401</v>
      </c>
      <c r="D9" s="6" t="s">
        <v>6</v>
      </c>
    </row>
    <row r="10" spans="1:4" ht="36" customHeight="1" x14ac:dyDescent="0.3">
      <c r="A10" s="4" t="s">
        <v>47</v>
      </c>
      <c r="B10" s="4" t="s">
        <v>402</v>
      </c>
      <c r="C10" s="4" t="s">
        <v>403</v>
      </c>
      <c r="D10" s="4" t="s">
        <v>124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7A9BB5"/>
  </sheetPr>
  <dimension ref="A1:D10"/>
  <sheetViews>
    <sheetView zoomScaleNormal="100" workbookViewId="0"/>
  </sheetViews>
  <sheetFormatPr defaultColWidth="8.6640625" defaultRowHeight="14.4" x14ac:dyDescent="0.3"/>
  <cols>
    <col min="1" max="1" width="14" customWidth="1"/>
    <col min="2" max="2" width="10" customWidth="1"/>
    <col min="3" max="3" width="32" customWidth="1"/>
    <col min="4" max="4" width="14" customWidth="1"/>
  </cols>
  <sheetData>
    <row r="1" spans="1:4" x14ac:dyDescent="0.3">
      <c r="A1" s="20" t="s">
        <v>42</v>
      </c>
      <c r="B1" s="20" t="s">
        <v>10</v>
      </c>
      <c r="C1" s="20" t="s">
        <v>11</v>
      </c>
      <c r="D1" s="20" t="s">
        <v>43</v>
      </c>
    </row>
    <row r="2" spans="1:4" x14ac:dyDescent="0.3">
      <c r="A2" s="21" t="s">
        <v>53</v>
      </c>
      <c r="B2" s="21" t="s">
        <v>17</v>
      </c>
      <c r="C2" s="21" t="s">
        <v>335</v>
      </c>
      <c r="D2" s="21" t="s">
        <v>6</v>
      </c>
    </row>
    <row r="3" spans="1:4" x14ac:dyDescent="0.3">
      <c r="A3" s="22" t="s">
        <v>241</v>
      </c>
      <c r="B3" s="22" t="s">
        <v>69</v>
      </c>
      <c r="C3" s="22" t="s">
        <v>340</v>
      </c>
      <c r="D3" s="22" t="s">
        <v>350</v>
      </c>
    </row>
    <row r="4" spans="1:4" x14ac:dyDescent="0.3">
      <c r="B4" s="21" t="s">
        <v>96</v>
      </c>
      <c r="C4" s="21" t="s">
        <v>345</v>
      </c>
      <c r="D4" s="21" t="s">
        <v>404</v>
      </c>
    </row>
    <row r="5" spans="1:4" x14ac:dyDescent="0.3">
      <c r="B5" s="22" t="s">
        <v>254</v>
      </c>
      <c r="C5" s="22" t="s">
        <v>54</v>
      </c>
      <c r="D5" s="22" t="s">
        <v>5</v>
      </c>
    </row>
    <row r="6" spans="1:4" x14ac:dyDescent="0.3">
      <c r="C6" s="21" t="s">
        <v>18</v>
      </c>
      <c r="D6" s="21" t="s">
        <v>375</v>
      </c>
    </row>
    <row r="7" spans="1:4" x14ac:dyDescent="0.3">
      <c r="C7" s="22" t="s">
        <v>97</v>
      </c>
    </row>
    <row r="8" spans="1:4" x14ac:dyDescent="0.3">
      <c r="C8" s="21" t="s">
        <v>217</v>
      </c>
    </row>
    <row r="9" spans="1:4" x14ac:dyDescent="0.3">
      <c r="C9" s="22" t="s">
        <v>222</v>
      </c>
    </row>
    <row r="10" spans="1:4" x14ac:dyDescent="0.3">
      <c r="C10" s="21" t="s">
        <v>242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Dashboard</vt:lpstr>
      <vt:lpstr>Feature Backlog</vt:lpstr>
      <vt:lpstr>User Stories</vt:lpstr>
      <vt:lpstr>Release Plan</vt:lpstr>
      <vt:lpstr>Prioritisation Guide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Matthew Reid</cp:lastModifiedBy>
  <cp:revision>0</cp:revision>
  <dcterms:created xsi:type="dcterms:W3CDTF">2026-06-18T19:07:20Z</dcterms:created>
  <dcterms:modified xsi:type="dcterms:W3CDTF">2026-06-18T19:09:06Z</dcterms:modified>
  <dc:language>en-US</dc:language>
</cp:coreProperties>
</file>