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atth\Documents\DrinkAwarenessApp\docs\"/>
    </mc:Choice>
  </mc:AlternateContent>
  <xr:revisionPtr revIDLastSave="0" documentId="13_ncr:1_{A74E2918-1100-49B6-B186-DA674740556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  <sheet name="Assumptions Register" sheetId="3" r:id="rId2"/>
    <sheet name="Risk Register" sheetId="4" r:id="rId3"/>
    <sheet name="Risk Matrix" sheetId="5" r:id="rId4"/>
    <sheet name="List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D12" i="5"/>
  <c r="D11" i="5"/>
  <c r="H9" i="1"/>
  <c r="H8" i="1"/>
  <c r="H7" i="1"/>
  <c r="H6" i="1"/>
  <c r="E9" i="1"/>
  <c r="E8" i="1"/>
  <c r="E7" i="1"/>
  <c r="E6" i="1"/>
  <c r="B9" i="1"/>
  <c r="B8" i="1"/>
  <c r="B7" i="1"/>
  <c r="B6" i="1"/>
  <c r="F8" i="5"/>
  <c r="E8" i="5"/>
  <c r="D8" i="5"/>
  <c r="C8" i="5"/>
  <c r="B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</calcChain>
</file>

<file path=xl/sharedStrings.xml><?xml version="1.0" encoding="utf-8"?>
<sst xmlns="http://schemas.openxmlformats.org/spreadsheetml/2006/main" count="309" uniqueCount="211">
  <si>
    <t>Drink Awareness App - Assumptions &amp; Risks Dashboard</t>
  </si>
  <si>
    <t>Track key project assumptions and risk for the Drink Awareness App</t>
  </si>
  <si>
    <t>Purpose</t>
  </si>
  <si>
    <t>Last Updated</t>
  </si>
  <si>
    <t>Metric</t>
  </si>
  <si>
    <t>Value</t>
  </si>
  <si>
    <t>Total Assumptions</t>
  </si>
  <si>
    <t>Total Risks</t>
  </si>
  <si>
    <t>Average Risk Score</t>
  </si>
  <si>
    <t>Highest Risk Score</t>
  </si>
  <si>
    <t>Validated Assumptions</t>
  </si>
  <si>
    <t>High Risks</t>
  </si>
  <si>
    <t>Medium Risks</t>
  </si>
  <si>
    <t>Low Risks</t>
  </si>
  <si>
    <t>Needs Review</t>
  </si>
  <si>
    <t>Open Risks</t>
  </si>
  <si>
    <t>Closed/Mitigated Risks</t>
  </si>
  <si>
    <t>Accepted Risks</t>
  </si>
  <si>
    <t>Risk score = Likelihood × Impact. Priority: High 15–25, Medium 8–14, Low 1–7.</t>
  </si>
  <si>
    <t>Risk Priority</t>
  </si>
  <si>
    <t>Count</t>
  </si>
  <si>
    <t>Meaning</t>
  </si>
  <si>
    <t>High</t>
  </si>
  <si>
    <t>Medium</t>
  </si>
  <si>
    <t>Low</t>
  </si>
  <si>
    <t>Needs active mitigation</t>
  </si>
  <si>
    <t>Monitor and reduce where practical</t>
  </si>
  <si>
    <t>Track but lower priority</t>
  </si>
  <si>
    <t>No.</t>
  </si>
  <si>
    <t>Next Action</t>
  </si>
  <si>
    <t>Type</t>
  </si>
  <si>
    <t>Target Date</t>
  </si>
  <si>
    <t>Review assumptions after interviews/surveys</t>
  </si>
  <si>
    <t>Update risk scores after competitor research</t>
  </si>
  <si>
    <t>Move validated items into MVP scope/backlog</t>
  </si>
  <si>
    <t>Review responsible design risks before UX/UI design</t>
  </si>
  <si>
    <t>Re-check high risks before core build</t>
  </si>
  <si>
    <t>Due</t>
  </si>
  <si>
    <t>How to use this workbook</t>
  </si>
  <si>
    <t>Update assumptions and risks as research, design and build work progresses.</t>
  </si>
  <si>
    <t>Use the Status columns to show whether items are open, validated, mitigated or closed.</t>
  </si>
  <si>
    <t>Risk Score is calculated automatically as Likelihood × Impact.</t>
  </si>
  <si>
    <t>High risks should be reviewed before each major project phase.</t>
  </si>
  <si>
    <t>Use notes/evidence columns to record decisions from interviews, competitor analysis and testing.</t>
  </si>
  <si>
    <t>Keep out-of-scope features separate from MVP work to protect the timeline.</t>
  </si>
  <si>
    <t>ID</t>
  </si>
  <si>
    <t>Category</t>
  </si>
  <si>
    <t>Assumption</t>
  </si>
  <si>
    <t>Impact if Wrong</t>
  </si>
  <si>
    <t>Validation Method</t>
  </si>
  <si>
    <t>Related Deliverable</t>
  </si>
  <si>
    <t>Owner</t>
  </si>
  <si>
    <t>Status</t>
  </si>
  <si>
    <t>Review Date</t>
  </si>
  <si>
    <t>Evidence / Notes</t>
  </si>
  <si>
    <t>A01</t>
  </si>
  <si>
    <t>User Research</t>
  </si>
  <si>
    <t>Users are willing to manually log drinks during or after social outings.</t>
  </si>
  <si>
    <t>The core logging feature may not be used regularly.</t>
  </si>
  <si>
    <t>Interview/survey participants about when and how they would log drinks.</t>
  </si>
  <si>
    <t>03-interview-questions.docx</t>
  </si>
  <si>
    <t>Matthew Reid</t>
  </si>
  <si>
    <t>Validate before finalising MVP flow.</t>
  </si>
  <si>
    <t>A02</t>
  </si>
  <si>
    <t>Venue/Menu Data</t>
  </si>
  <si>
    <t>Venue and menu information adds value to a drink awareness app.</t>
  </si>
  <si>
    <t>The app may be more complex than necessary if users only want tracking.</t>
  </si>
  <si>
    <t>Ask users to rank venue discovery against logging and summaries.</t>
  </si>
  <si>
    <t>02-research-plan.docx</t>
  </si>
  <si>
    <t>Compare with competitor apps.</t>
  </si>
  <si>
    <t>A03</t>
  </si>
  <si>
    <t>Product Scope</t>
  </si>
  <si>
    <t>Sample venue and menu data is acceptable for an MVP demonstration.</t>
  </si>
  <si>
    <t>The MVP may feel unrealistic without live venue data.</t>
  </si>
  <si>
    <t>Use realistic sample data and test whether users understand it is an MVP.</t>
  </si>
  <si>
    <t>04-mvp-scope.docx</t>
  </si>
  <si>
    <t>Useful for keeping build achievable.</t>
  </si>
  <si>
    <t>A04</t>
  </si>
  <si>
    <t>AI Insights</t>
  </si>
  <si>
    <t>AI-generated insights will make the app more valuable than a basic logbook.</t>
  </si>
  <si>
    <t>The AI feature may feel generic, unnecessary or untrusted.</t>
  </si>
  <si>
    <t>Test example insight wording with interview participants.</t>
  </si>
  <si>
    <t>Keep tone supportive and non-medical.</t>
  </si>
  <si>
    <t>A05</t>
  </si>
  <si>
    <t>Responsible Design</t>
  </si>
  <si>
    <t>Users prefer supportive, non-judgemental feedback about drinking awareness.</t>
  </si>
  <si>
    <t>Poor wording could make users feel judged or unsafe.</t>
  </si>
  <si>
    <t>Ask users about preferred tone and messages to avoid.</t>
  </si>
  <si>
    <t>Important because app relates to alcohol.</t>
  </si>
  <si>
    <t>A06</t>
  </si>
  <si>
    <t>Business Model</t>
  </si>
  <si>
    <t>A freemium model is suitable for the app.</t>
  </si>
  <si>
    <t>Premium features may not justify a subscription.</t>
  </si>
  <si>
    <t>Ask users whether advanced insights/planning would be worth paying for.</t>
  </si>
  <si>
    <t>01-product-brief.docx</t>
  </si>
  <si>
    <t>Payment system remains out of MVP.</t>
  </si>
  <si>
    <t>A07</t>
  </si>
  <si>
    <t>Timeline</t>
  </si>
  <si>
    <t>The MVP can be planned, built, tested and prepared by 18 October 2026.</t>
  </si>
  <si>
    <t>The release may slip if scope expands.</t>
  </si>
  <si>
    <t>Review roadmap milestones after each phase.</t>
  </si>
  <si>
    <t>05-roadmap.docx</t>
  </si>
  <si>
    <t>In Progress</t>
  </si>
  <si>
    <t>Keep later features out of scope.</t>
  </si>
  <si>
    <t>A08</t>
  </si>
  <si>
    <t>Data/Privacy</t>
  </si>
  <si>
    <t>Users will be comfortable logging drinks if data collection is minimal.</t>
  </si>
  <si>
    <t>Privacy concerns may reduce adoption.</t>
  </si>
  <si>
    <t>Ask participants what data they are comfortable sharing.</t>
  </si>
  <si>
    <t>Consider local/simple usage for MVP.</t>
  </si>
  <si>
    <t>A09</t>
  </si>
  <si>
    <t>Daily and weekly summaries are enough for the first version.</t>
  </si>
  <si>
    <t>Users may expect longer-term trends or charts.</t>
  </si>
  <si>
    <t>Ask users what summaries they would realistically check.</t>
  </si>
  <si>
    <t>Advanced analytics can be premium/later.</t>
  </si>
  <si>
    <t>A10</t>
  </si>
  <si>
    <t>Technical</t>
  </si>
  <si>
    <t>A cross-platform approach is practical for iOS and Android.</t>
  </si>
  <si>
    <t>Technical complexity may increase if platform-specific features are needed.</t>
  </si>
  <si>
    <t>Assess technical stack during the technical setup phase.</t>
  </si>
  <si>
    <t>Not Started</t>
  </si>
  <si>
    <t>Decision required before core build.</t>
  </si>
  <si>
    <t>Risk</t>
  </si>
  <si>
    <t>Cause</t>
  </si>
  <si>
    <t>Impact</t>
  </si>
  <si>
    <t>R01</t>
  </si>
  <si>
    <t>MVP scope becomes too large.</t>
  </si>
  <si>
    <t>Too many later features are pulled into the first build.</t>
  </si>
  <si>
    <t>Development takes longer than planned and core features are not finished.</t>
  </si>
  <si>
    <t>R02</t>
  </si>
  <si>
    <t>Users forget to log drinks.</t>
  </si>
  <si>
    <t>Manual logging may be inconvenient during a social outing.</t>
  </si>
  <si>
    <t>Summaries and insights become incomplete.</t>
  </si>
  <si>
    <t>R03</t>
  </si>
  <si>
    <t>Venue and menu data is hard to maintain.</t>
  </si>
  <si>
    <t>Live venue data and prices may change often.</t>
  </si>
  <si>
    <t>Data may become inaccurate or outdated.</t>
  </si>
  <si>
    <t>R04</t>
  </si>
  <si>
    <t>AI insights feel judgemental or generic.</t>
  </si>
  <si>
    <t>Poor wording or weak logic may reduce trust.</t>
  </si>
  <si>
    <t>Users may ignore or dislike the feature.</t>
  </si>
  <si>
    <t>R05</t>
  </si>
  <si>
    <t>Alcohol-related features are misunderstood as encouraging drinking.</t>
  </si>
  <si>
    <t>Venue discovery, menus or social features may appear promotional.</t>
  </si>
  <si>
    <t>App could conflict with responsible design goals.</t>
  </si>
  <si>
    <t>R06</t>
  </si>
  <si>
    <t>Privacy concerns reduce user adoption.</t>
  </si>
  <si>
    <t>Users may not want to share location, venue or drinking data.</t>
  </si>
  <si>
    <t>Users may avoid logging real information.</t>
  </si>
  <si>
    <t>R07</t>
  </si>
  <si>
    <t>Map or venue discovery integration is harder than expected.</t>
  </si>
  <si>
    <t>APIs, permissions or platform differences may add complexity.</t>
  </si>
  <si>
    <t>Technical setup and build phases may slip.</t>
  </si>
  <si>
    <t>R08</t>
  </si>
  <si>
    <t>Premium features are not compelling enough.</t>
  </si>
  <si>
    <t>Users may not see value in paying for advanced insights.</t>
  </si>
  <si>
    <t>Freemium model may need revision.</t>
  </si>
  <si>
    <t>R09</t>
  </si>
  <si>
    <t>Research feedback takes longer than expected.</t>
  </si>
  <si>
    <t>Finding participants may be slower than planned.</t>
  </si>
  <si>
    <t>MVP scope and backlog planning may be delayed.</t>
  </si>
  <si>
    <t>R10</t>
  </si>
  <si>
    <t>Cross-platform build choice delays development.</t>
  </si>
  <si>
    <t>Need to select and configure a suitable iOS/Android stack.</t>
  </si>
  <si>
    <t>Core feature build may start late.</t>
  </si>
  <si>
    <t>Likelihood (1-5)</t>
  </si>
  <si>
    <t>Impact (1-5)</t>
  </si>
  <si>
    <t>Risk Score</t>
  </si>
  <si>
    <t>Priority</t>
  </si>
  <si>
    <t>Mitigation</t>
  </si>
  <si>
    <t>Notes</t>
  </si>
  <si>
    <t>Keep MVP features limited to must-have scope and track later ideas separately.</t>
  </si>
  <si>
    <t>Keep the logging flow fast; consider reminders as a later feature.</t>
  </si>
  <si>
    <t>Use sample or limited realistic data for MVP; avoid promising live coverage.</t>
  </si>
  <si>
    <t>Use supportive wording, no medical claims, and insights based on clear logged patterns.</t>
  </si>
  <si>
    <t>Avoid leaderboards, gamified consumption and wording that encourages drinking more.</t>
  </si>
  <si>
    <t>Minimise data collection; allow simple use; make data purpose clear.</t>
  </si>
  <si>
    <t>Start with sample venue data and simple map/list approach.</t>
  </si>
  <si>
    <t>Keep premium placeholders light in MVP and validate willingness to pay.</t>
  </si>
  <si>
    <t>Use a small sample target and continue with best available feedback.</t>
  </si>
  <si>
    <t>Make stack decision during technical setup phase and keep first build simple.</t>
  </si>
  <si>
    <t>Watch during backlog planning.</t>
  </si>
  <si>
    <t>Validate in interviews.</t>
  </si>
  <si>
    <t>Important technical/business risk.</t>
  </si>
  <si>
    <t>Test example wording.</t>
  </si>
  <si>
    <t>High importance due to subject matter.</t>
  </si>
  <si>
    <t>Assess during UX/UI design.</t>
  </si>
  <si>
    <t>Avoid over-engineering MVP.</t>
  </si>
  <si>
    <t>Business model can evolve later.</t>
  </si>
  <si>
    <t>Early project risk.</t>
  </si>
  <si>
    <t>Review after UX/UI phase.</t>
  </si>
  <si>
    <t>Open</t>
  </si>
  <si>
    <t>Risk Matrix: Likelihood x Impact</t>
  </si>
  <si>
    <t>Likelihood / Impact</t>
  </si>
  <si>
    <t>Score Range</t>
  </si>
  <si>
    <t>Action</t>
  </si>
  <si>
    <t>1 to 7</t>
  </si>
  <si>
    <t>8 to 14</t>
  </si>
  <si>
    <t>15 to 25</t>
  </si>
  <si>
    <t>Track</t>
  </si>
  <si>
    <t>Monitor and Mitigate</t>
  </si>
  <si>
    <t>Actively Reduce</t>
  </si>
  <si>
    <t>Risk Status</t>
  </si>
  <si>
    <t>Likelihood</t>
  </si>
  <si>
    <t>Monitoring</t>
  </si>
  <si>
    <t>TBC</t>
  </si>
  <si>
    <t>Validated</t>
  </si>
  <si>
    <t>Mitigated</t>
  </si>
  <si>
    <t>Invalidated</t>
  </si>
  <si>
    <t>Closed</t>
  </si>
  <si>
    <t>Accepted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</si>
</sst>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Franklin Gothic Book"/>
      <family val="2"/>
    </font>
    <font>
      <b/>
      <sz val="10"/>
      <color theme="1"/>
      <name val="Franklin Gothic Book"/>
      <family val="2"/>
    </font>
    <font>
      <i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7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0" xfId="0" applyFont="1" applyBorder="1" applyAlignment="1">
      <alignment vertical="top"/>
    </xf>
    <xf numFmtId="0" fontId="3" fillId="0" borderId="3" xfId="0" applyFont="1" applyBorder="1" applyAlignment="1">
      <alignment vertical="top"/>
    </xf>
    <xf numFmtId="0" fontId="2" fillId="0" borderId="0" xfId="0" applyFont="1" applyBorder="1" applyAlignment="1">
      <alignment vertical="center"/>
    </xf>
    <xf numFmtId="0" fontId="3" fillId="0" borderId="0" xfId="0" applyFont="1" applyBorder="1" applyAlignment="1">
      <alignment vertical="top" wrapText="1"/>
    </xf>
    <xf numFmtId="0" fontId="3" fillId="0" borderId="4" xfId="0" applyFont="1" applyBorder="1" applyAlignment="1">
      <alignment vertical="top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top"/>
    </xf>
    <xf numFmtId="164" fontId="3" fillId="0" borderId="1" xfId="0" applyNumberFormat="1" applyFont="1" applyBorder="1" applyAlignment="1">
      <alignment horizontal="left" vertical="top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15" fontId="2" fillId="0" borderId="1" xfId="0" applyNumberFormat="1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14" fontId="5" fillId="0" borderId="7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14" fontId="2" fillId="0" borderId="7" xfId="0" applyNumberFormat="1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top"/>
    </xf>
    <xf numFmtId="0" fontId="2" fillId="0" borderId="7" xfId="0" applyFont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left" vertical="center"/>
    </xf>
    <xf numFmtId="0" fontId="2" fillId="0" borderId="21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19" xfId="0" applyFont="1" applyBorder="1" applyAlignment="1">
      <alignment horizontal="left" vertical="center"/>
    </xf>
    <xf numFmtId="0" fontId="5" fillId="0" borderId="7" xfId="1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top"/>
    </xf>
    <xf numFmtId="16" fontId="2" fillId="0" borderId="7" xfId="0" applyNumberFormat="1" applyFont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</cellXfs>
  <cellStyles count="2">
    <cellStyle name="40% - Accent2" xfId="1" builtinId="35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H25"/>
  <sheetViews>
    <sheetView showGridLines="0" tabSelected="1" zoomScale="85" zoomScaleNormal="85" workbookViewId="0">
      <selection sqref="A1:H1"/>
    </sheetView>
  </sheetViews>
  <sheetFormatPr defaultRowHeight="13.8" x14ac:dyDescent="0.3"/>
  <cols>
    <col min="1" max="1" width="15.5546875" style="1" bestFit="1" customWidth="1"/>
    <col min="2" max="2" width="86.109375" style="1" bestFit="1" customWidth="1"/>
    <col min="3" max="3" width="29.109375" style="1" bestFit="1" customWidth="1"/>
    <col min="4" max="4" width="20.6640625" style="1" bestFit="1" customWidth="1"/>
    <col min="5" max="5" width="11.33203125" style="1" bestFit="1" customWidth="1"/>
    <col min="6" max="6" width="46.6640625" style="1" bestFit="1" customWidth="1"/>
    <col min="7" max="7" width="20.88671875" style="1" bestFit="1" customWidth="1"/>
    <col min="8" max="8" width="11.88671875" style="1" bestFit="1" customWidth="1"/>
    <col min="9" max="16384" width="8.88671875" style="1"/>
  </cols>
  <sheetData>
    <row r="1" spans="1:8" x14ac:dyDescent="0.3">
      <c r="A1" s="22" t="s">
        <v>0</v>
      </c>
      <c r="B1" s="22"/>
      <c r="C1" s="22"/>
      <c r="D1" s="22"/>
      <c r="E1" s="22"/>
      <c r="F1" s="22"/>
      <c r="G1" s="22"/>
      <c r="H1" s="22"/>
    </row>
    <row r="2" spans="1:8" x14ac:dyDescent="0.3">
      <c r="A2" s="3"/>
      <c r="B2" s="4"/>
      <c r="C2" s="4"/>
      <c r="D2" s="4"/>
      <c r="E2" s="4"/>
      <c r="F2" s="4"/>
      <c r="G2" s="4"/>
      <c r="H2" s="5"/>
    </row>
    <row r="3" spans="1:8" x14ac:dyDescent="0.3">
      <c r="A3" s="21" t="s">
        <v>2</v>
      </c>
      <c r="B3" s="19" t="s">
        <v>1</v>
      </c>
      <c r="C3" s="19"/>
      <c r="D3" s="19"/>
      <c r="E3" s="21" t="s">
        <v>3</v>
      </c>
      <c r="F3" s="20">
        <v>46164</v>
      </c>
      <c r="G3" s="4"/>
      <c r="H3" s="5"/>
    </row>
    <row r="4" spans="1:8" x14ac:dyDescent="0.3">
      <c r="A4" s="3"/>
      <c r="B4" s="4"/>
      <c r="C4" s="4"/>
      <c r="D4" s="4"/>
      <c r="E4" s="4"/>
      <c r="F4" s="4"/>
      <c r="G4" s="4"/>
      <c r="H4" s="5"/>
    </row>
    <row r="5" spans="1:8" x14ac:dyDescent="0.3">
      <c r="A5" s="21" t="s">
        <v>4</v>
      </c>
      <c r="B5" s="21" t="s">
        <v>5</v>
      </c>
      <c r="C5" s="4"/>
      <c r="D5" s="21" t="s">
        <v>4</v>
      </c>
      <c r="E5" s="21" t="s">
        <v>5</v>
      </c>
      <c r="F5" s="4"/>
      <c r="G5" s="21" t="s">
        <v>4</v>
      </c>
      <c r="H5" s="21" t="s">
        <v>5</v>
      </c>
    </row>
    <row r="6" spans="1:8" ht="14.4" x14ac:dyDescent="0.3">
      <c r="A6" s="15" t="s">
        <v>6</v>
      </c>
      <c r="B6" s="13">
        <f>COUNTA('Assumptions Register'!$A$2:$A$50)</f>
        <v>10</v>
      </c>
      <c r="C6" s="4"/>
      <c r="D6" s="18" t="s">
        <v>10</v>
      </c>
      <c r="E6" s="13">
        <f>COUNTIF('Assumptions Register'!$H$2:$H$50,"Validated")</f>
        <v>0</v>
      </c>
      <c r="F6" s="4"/>
      <c r="G6" s="18" t="s">
        <v>14</v>
      </c>
      <c r="H6" s="13">
        <f>COUNTIF('Assumptions Register'!$H$2:$H$50,"Needs Review")</f>
        <v>8</v>
      </c>
    </row>
    <row r="7" spans="1:8" ht="14.4" x14ac:dyDescent="0.3">
      <c r="A7" s="15" t="s">
        <v>7</v>
      </c>
      <c r="B7" s="13">
        <f>COUNTA('Risk Register'!$A$2:$A$50)</f>
        <v>10</v>
      </c>
      <c r="C7" s="4"/>
      <c r="D7" s="18" t="s">
        <v>11</v>
      </c>
      <c r="E7" s="13">
        <f>COUNTIF('Risk Register'!$I$2:$I$50,"High")</f>
        <v>3</v>
      </c>
      <c r="F7" s="4"/>
      <c r="G7" s="18" t="s">
        <v>15</v>
      </c>
      <c r="H7" s="13">
        <f>COUNTIF('Risk Register'!$J$2:$J$50,"Open")</f>
        <v>8</v>
      </c>
    </row>
    <row r="8" spans="1:8" ht="14.4" x14ac:dyDescent="0.3">
      <c r="A8" s="15" t="s">
        <v>8</v>
      </c>
      <c r="B8" s="13">
        <f>IFERROR(AVERAGE('Risk Register'!$H$2:$H$50),0)</f>
        <v>12.1</v>
      </c>
      <c r="C8" s="4"/>
      <c r="D8" s="18" t="s">
        <v>12</v>
      </c>
      <c r="E8" s="13">
        <f>COUNTIF('Risk Register'!$I$2:$I$50,"Medium")</f>
        <v>7</v>
      </c>
      <c r="F8" s="4"/>
      <c r="G8" s="18" t="s">
        <v>16</v>
      </c>
      <c r="H8" s="13">
        <f>COUNTIF('Risk Register'!$J$2:$J$50,"Mitigated")+COUNTIF('Risk Register'!$J$2:$J$50,"Closed")</f>
        <v>0</v>
      </c>
    </row>
    <row r="9" spans="1:8" ht="14.4" x14ac:dyDescent="0.3">
      <c r="A9" s="15" t="s">
        <v>9</v>
      </c>
      <c r="B9" s="13">
        <f>IFERROR(MAX('Risk Register'!$H$2:$H$50),0)</f>
        <v>16</v>
      </c>
      <c r="C9" s="4"/>
      <c r="D9" s="18" t="s">
        <v>13</v>
      </c>
      <c r="E9" s="13">
        <f>COUNTIF('Risk Register'!$I$2:$I$50,"Low")</f>
        <v>0</v>
      </c>
      <c r="F9" s="4"/>
      <c r="G9" s="18" t="s">
        <v>17</v>
      </c>
      <c r="H9" s="13">
        <f>COUNTIF('Risk Register'!$J$2:$J$50,"Accepted")</f>
        <v>0</v>
      </c>
    </row>
    <row r="10" spans="1:8" x14ac:dyDescent="0.3">
      <c r="A10" s="55" t="s">
        <v>18</v>
      </c>
      <c r="B10" s="56"/>
      <c r="C10" s="56"/>
      <c r="D10" s="56"/>
      <c r="E10" s="56"/>
      <c r="F10" s="56"/>
      <c r="G10" s="56"/>
      <c r="H10" s="57"/>
    </row>
    <row r="11" spans="1:8" x14ac:dyDescent="0.3">
      <c r="A11" s="3"/>
      <c r="B11" s="4"/>
      <c r="C11" s="4"/>
      <c r="D11" s="4"/>
      <c r="E11" s="4"/>
      <c r="F11" s="4"/>
      <c r="G11" s="4"/>
      <c r="H11" s="5"/>
    </row>
    <row r="12" spans="1:8" x14ac:dyDescent="0.3">
      <c r="A12" s="21" t="s">
        <v>19</v>
      </c>
      <c r="B12" s="21" t="s">
        <v>20</v>
      </c>
      <c r="C12" s="21" t="s">
        <v>21</v>
      </c>
      <c r="D12" s="4"/>
      <c r="E12" s="21" t="s">
        <v>28</v>
      </c>
      <c r="F12" s="21" t="s">
        <v>29</v>
      </c>
      <c r="G12" s="21" t="s">
        <v>30</v>
      </c>
      <c r="H12" s="21" t="s">
        <v>31</v>
      </c>
    </row>
    <row r="13" spans="1:8" ht="14.4" x14ac:dyDescent="0.3">
      <c r="A13" s="15" t="s">
        <v>22</v>
      </c>
      <c r="B13" s="13"/>
      <c r="C13" s="15" t="s">
        <v>25</v>
      </c>
      <c r="D13" s="4"/>
      <c r="E13" s="13">
        <v>1</v>
      </c>
      <c r="F13" s="16" t="s">
        <v>32</v>
      </c>
      <c r="G13" s="16" t="s">
        <v>37</v>
      </c>
      <c r="H13" s="17">
        <v>46173</v>
      </c>
    </row>
    <row r="14" spans="1:8" ht="14.4" x14ac:dyDescent="0.3">
      <c r="A14" s="15" t="s">
        <v>23</v>
      </c>
      <c r="B14" s="13"/>
      <c r="C14" s="15" t="s">
        <v>26</v>
      </c>
      <c r="D14" s="4"/>
      <c r="E14" s="13">
        <v>2</v>
      </c>
      <c r="F14" s="16" t="s">
        <v>33</v>
      </c>
      <c r="G14" s="16" t="s">
        <v>37</v>
      </c>
      <c r="H14" s="17">
        <v>46173</v>
      </c>
    </row>
    <row r="15" spans="1:8" ht="14.4" x14ac:dyDescent="0.3">
      <c r="A15" s="15" t="s">
        <v>24</v>
      </c>
      <c r="B15" s="13"/>
      <c r="C15" s="15" t="s">
        <v>27</v>
      </c>
      <c r="D15" s="4"/>
      <c r="E15" s="13">
        <v>3</v>
      </c>
      <c r="F15" s="16" t="s">
        <v>34</v>
      </c>
      <c r="G15" s="16" t="s">
        <v>37</v>
      </c>
      <c r="H15" s="17">
        <v>46187</v>
      </c>
    </row>
    <row r="16" spans="1:8" ht="14.4" x14ac:dyDescent="0.3">
      <c r="A16" s="3"/>
      <c r="B16" s="4"/>
      <c r="C16" s="4"/>
      <c r="D16" s="4"/>
      <c r="E16" s="13">
        <v>4</v>
      </c>
      <c r="F16" s="16" t="s">
        <v>35</v>
      </c>
      <c r="G16" s="16" t="s">
        <v>37</v>
      </c>
      <c r="H16" s="17">
        <v>46201</v>
      </c>
    </row>
    <row r="17" spans="1:8" ht="14.4" x14ac:dyDescent="0.3">
      <c r="A17" s="3"/>
      <c r="B17" s="4"/>
      <c r="C17" s="4"/>
      <c r="D17" s="4"/>
      <c r="E17" s="13">
        <v>5</v>
      </c>
      <c r="F17" s="16" t="s">
        <v>36</v>
      </c>
      <c r="G17" s="16" t="s">
        <v>37</v>
      </c>
      <c r="H17" s="17">
        <v>46216</v>
      </c>
    </row>
    <row r="18" spans="1:8" ht="14.4" x14ac:dyDescent="0.3">
      <c r="A18" s="3"/>
      <c r="B18" s="4"/>
      <c r="C18" s="4"/>
      <c r="D18" s="4"/>
      <c r="E18" s="4"/>
      <c r="F18" s="6"/>
      <c r="G18" s="6"/>
      <c r="H18" s="7"/>
    </row>
    <row r="19" spans="1:8" x14ac:dyDescent="0.3">
      <c r="A19" s="22" t="s">
        <v>38</v>
      </c>
      <c r="B19" s="22"/>
      <c r="C19" s="8"/>
      <c r="D19" s="8"/>
      <c r="E19" s="4"/>
      <c r="F19" s="4"/>
      <c r="G19" s="4"/>
      <c r="H19" s="5"/>
    </row>
    <row r="20" spans="1:8" ht="14.4" customHeight="1" x14ac:dyDescent="0.3">
      <c r="A20" s="13">
        <v>1</v>
      </c>
      <c r="B20" s="14" t="s">
        <v>39</v>
      </c>
      <c r="C20" s="9"/>
      <c r="D20" s="9"/>
      <c r="E20" s="4"/>
      <c r="F20" s="4"/>
      <c r="G20" s="4"/>
      <c r="H20" s="5"/>
    </row>
    <row r="21" spans="1:8" ht="14.4" customHeight="1" x14ac:dyDescent="0.3">
      <c r="A21" s="13">
        <v>2</v>
      </c>
      <c r="B21" s="14" t="s">
        <v>40</v>
      </c>
      <c r="C21" s="9"/>
      <c r="D21" s="9"/>
      <c r="E21" s="4"/>
      <c r="F21" s="4"/>
      <c r="G21" s="4"/>
      <c r="H21" s="5"/>
    </row>
    <row r="22" spans="1:8" ht="14.4" customHeight="1" x14ac:dyDescent="0.3">
      <c r="A22" s="13">
        <v>3</v>
      </c>
      <c r="B22" s="14" t="s">
        <v>41</v>
      </c>
      <c r="C22" s="9"/>
      <c r="D22" s="9"/>
      <c r="E22" s="4"/>
      <c r="F22" s="4"/>
      <c r="G22" s="4"/>
      <c r="H22" s="5"/>
    </row>
    <row r="23" spans="1:8" ht="14.4" customHeight="1" x14ac:dyDescent="0.3">
      <c r="A23" s="13">
        <v>4</v>
      </c>
      <c r="B23" s="14" t="s">
        <v>42</v>
      </c>
      <c r="C23" s="9"/>
      <c r="D23" s="9"/>
      <c r="E23" s="4"/>
      <c r="F23" s="4"/>
      <c r="G23" s="4"/>
      <c r="H23" s="5"/>
    </row>
    <row r="24" spans="1:8" ht="14.4" customHeight="1" x14ac:dyDescent="0.3">
      <c r="A24" s="13">
        <v>5</v>
      </c>
      <c r="B24" s="14" t="s">
        <v>43</v>
      </c>
      <c r="C24" s="9"/>
      <c r="D24" s="9"/>
      <c r="E24" s="4"/>
      <c r="F24" s="4"/>
      <c r="G24" s="4"/>
      <c r="H24" s="5"/>
    </row>
    <row r="25" spans="1:8" ht="14.4" customHeight="1" x14ac:dyDescent="0.3">
      <c r="A25" s="13">
        <v>6</v>
      </c>
      <c r="B25" s="14" t="s">
        <v>44</v>
      </c>
      <c r="C25" s="10"/>
      <c r="D25" s="10"/>
      <c r="E25" s="11"/>
      <c r="F25" s="11"/>
      <c r="G25" s="11"/>
      <c r="H25" s="12"/>
    </row>
  </sheetData>
  <mergeCells count="4">
    <mergeCell ref="A19:B19"/>
    <mergeCell ref="A1:H1"/>
    <mergeCell ref="B3:D3"/>
    <mergeCell ref="A10:H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E7045-78B0-4A8A-86AC-037AAC613D19}">
  <sheetPr>
    <tabColor rgb="FFFF0000"/>
  </sheetPr>
  <dimension ref="A1:J11"/>
  <sheetViews>
    <sheetView showGridLines="0" zoomScale="70" zoomScaleNormal="70" workbookViewId="0">
      <selection sqref="A1:XFD1"/>
    </sheetView>
  </sheetViews>
  <sheetFormatPr defaultColWidth="6.21875" defaultRowHeight="13.8" x14ac:dyDescent="0.3"/>
  <cols>
    <col min="1" max="1" width="4.6640625" style="32" bestFit="1" customWidth="1"/>
    <col min="2" max="2" width="17.21875" style="30" bestFit="1" customWidth="1"/>
    <col min="3" max="3" width="66.109375" style="25" bestFit="1" customWidth="1"/>
    <col min="4" max="4" width="63.77734375" style="25" bestFit="1" customWidth="1"/>
    <col min="5" max="5" width="62.6640625" style="25" bestFit="1" customWidth="1"/>
    <col min="6" max="6" width="24.21875" style="25" bestFit="1" customWidth="1"/>
    <col min="7" max="7" width="12" style="25" bestFit="1" customWidth="1"/>
    <col min="8" max="8" width="12.21875" style="25" bestFit="1" customWidth="1"/>
    <col min="9" max="9" width="12.6640625" style="25" bestFit="1" customWidth="1"/>
    <col min="10" max="10" width="35.77734375" style="25" bestFit="1" customWidth="1"/>
    <col min="11" max="16384" width="6.21875" style="24"/>
  </cols>
  <sheetData>
    <row r="1" spans="1:10" s="23" customFormat="1" ht="14.4" thickBot="1" x14ac:dyDescent="0.35">
      <c r="A1" s="58" t="s">
        <v>45</v>
      </c>
      <c r="B1" s="59" t="s">
        <v>46</v>
      </c>
      <c r="C1" s="60" t="s">
        <v>47</v>
      </c>
      <c r="D1" s="60" t="s">
        <v>48</v>
      </c>
      <c r="E1" s="60" t="s">
        <v>49</v>
      </c>
      <c r="F1" s="60" t="s">
        <v>50</v>
      </c>
      <c r="G1" s="60" t="s">
        <v>51</v>
      </c>
      <c r="H1" s="60" t="s">
        <v>52</v>
      </c>
      <c r="I1" s="60" t="s">
        <v>53</v>
      </c>
      <c r="J1" s="61" t="s">
        <v>54</v>
      </c>
    </row>
    <row r="2" spans="1:10" x14ac:dyDescent="0.3">
      <c r="A2" s="31" t="s">
        <v>55</v>
      </c>
      <c r="B2" s="29" t="s">
        <v>56</v>
      </c>
      <c r="C2" s="27" t="s">
        <v>57</v>
      </c>
      <c r="D2" s="27" t="s">
        <v>58</v>
      </c>
      <c r="E2" s="27" t="s">
        <v>59</v>
      </c>
      <c r="F2" s="27" t="s">
        <v>60</v>
      </c>
      <c r="G2" s="27" t="s">
        <v>61</v>
      </c>
      <c r="H2" s="52" t="s">
        <v>14</v>
      </c>
      <c r="I2" s="28">
        <v>46173</v>
      </c>
      <c r="J2" s="27" t="s">
        <v>62</v>
      </c>
    </row>
    <row r="3" spans="1:10" x14ac:dyDescent="0.3">
      <c r="A3" s="32" t="s">
        <v>63</v>
      </c>
      <c r="B3" s="30" t="s">
        <v>64</v>
      </c>
      <c r="C3" s="25" t="s">
        <v>65</v>
      </c>
      <c r="D3" s="25" t="s">
        <v>66</v>
      </c>
      <c r="E3" s="25" t="s">
        <v>67</v>
      </c>
      <c r="F3" s="25" t="s">
        <v>68</v>
      </c>
      <c r="G3" s="25" t="s">
        <v>61</v>
      </c>
      <c r="H3" s="52" t="s">
        <v>14</v>
      </c>
      <c r="I3" s="26">
        <v>46173</v>
      </c>
      <c r="J3" s="25" t="s">
        <v>69</v>
      </c>
    </row>
    <row r="4" spans="1:10" x14ac:dyDescent="0.3">
      <c r="A4" s="32" t="s">
        <v>70</v>
      </c>
      <c r="B4" s="30" t="s">
        <v>71</v>
      </c>
      <c r="C4" s="25" t="s">
        <v>72</v>
      </c>
      <c r="D4" s="25" t="s">
        <v>73</v>
      </c>
      <c r="E4" s="25" t="s">
        <v>74</v>
      </c>
      <c r="F4" s="25" t="s">
        <v>75</v>
      </c>
      <c r="G4" s="25" t="s">
        <v>61</v>
      </c>
      <c r="H4" s="52" t="s">
        <v>14</v>
      </c>
      <c r="I4" s="26">
        <v>46187</v>
      </c>
      <c r="J4" s="25" t="s">
        <v>76</v>
      </c>
    </row>
    <row r="5" spans="1:10" x14ac:dyDescent="0.3">
      <c r="A5" s="32" t="s">
        <v>77</v>
      </c>
      <c r="B5" s="30" t="s">
        <v>78</v>
      </c>
      <c r="C5" s="25" t="s">
        <v>79</v>
      </c>
      <c r="D5" s="25" t="s">
        <v>80</v>
      </c>
      <c r="E5" s="25" t="s">
        <v>81</v>
      </c>
      <c r="F5" s="25" t="s">
        <v>60</v>
      </c>
      <c r="G5" s="25" t="s">
        <v>61</v>
      </c>
      <c r="H5" s="52" t="s">
        <v>14</v>
      </c>
      <c r="I5" s="26">
        <v>46173</v>
      </c>
      <c r="J5" s="25" t="s">
        <v>82</v>
      </c>
    </row>
    <row r="6" spans="1:10" x14ac:dyDescent="0.3">
      <c r="A6" s="32" t="s">
        <v>83</v>
      </c>
      <c r="B6" s="30" t="s">
        <v>84</v>
      </c>
      <c r="C6" s="25" t="s">
        <v>85</v>
      </c>
      <c r="D6" s="25" t="s">
        <v>86</v>
      </c>
      <c r="E6" s="25" t="s">
        <v>87</v>
      </c>
      <c r="F6" s="25" t="s">
        <v>60</v>
      </c>
      <c r="G6" s="25" t="s">
        <v>61</v>
      </c>
      <c r="H6" s="52" t="s">
        <v>14</v>
      </c>
      <c r="I6" s="26">
        <v>46173</v>
      </c>
      <c r="J6" s="25" t="s">
        <v>88</v>
      </c>
    </row>
    <row r="7" spans="1:10" x14ac:dyDescent="0.3">
      <c r="A7" s="32" t="s">
        <v>89</v>
      </c>
      <c r="B7" s="30" t="s">
        <v>90</v>
      </c>
      <c r="C7" s="25" t="s">
        <v>91</v>
      </c>
      <c r="D7" s="25" t="s">
        <v>92</v>
      </c>
      <c r="E7" s="25" t="s">
        <v>93</v>
      </c>
      <c r="F7" s="25" t="s">
        <v>94</v>
      </c>
      <c r="G7" s="25" t="s">
        <v>61</v>
      </c>
      <c r="H7" s="52" t="s">
        <v>14</v>
      </c>
      <c r="I7" s="26">
        <v>46187</v>
      </c>
      <c r="J7" s="25" t="s">
        <v>95</v>
      </c>
    </row>
    <row r="8" spans="1:10" x14ac:dyDescent="0.3">
      <c r="A8" s="32" t="s">
        <v>96</v>
      </c>
      <c r="B8" s="30" t="s">
        <v>97</v>
      </c>
      <c r="C8" s="25" t="s">
        <v>98</v>
      </c>
      <c r="D8" s="25" t="s">
        <v>99</v>
      </c>
      <c r="E8" s="25" t="s">
        <v>100</v>
      </c>
      <c r="F8" s="25" t="s">
        <v>101</v>
      </c>
      <c r="G8" s="25" t="s">
        <v>61</v>
      </c>
      <c r="H8" s="52" t="s">
        <v>102</v>
      </c>
      <c r="I8" s="26">
        <v>46187</v>
      </c>
      <c r="J8" s="25" t="s">
        <v>103</v>
      </c>
    </row>
    <row r="9" spans="1:10" x14ac:dyDescent="0.3">
      <c r="A9" s="32" t="s">
        <v>104</v>
      </c>
      <c r="B9" s="30" t="s">
        <v>105</v>
      </c>
      <c r="C9" s="25" t="s">
        <v>106</v>
      </c>
      <c r="D9" s="25" t="s">
        <v>107</v>
      </c>
      <c r="E9" s="25" t="s">
        <v>108</v>
      </c>
      <c r="F9" s="25" t="s">
        <v>60</v>
      </c>
      <c r="G9" s="25" t="s">
        <v>61</v>
      </c>
      <c r="H9" s="52" t="s">
        <v>14</v>
      </c>
      <c r="I9" s="26">
        <v>46173</v>
      </c>
      <c r="J9" s="25" t="s">
        <v>109</v>
      </c>
    </row>
    <row r="10" spans="1:10" x14ac:dyDescent="0.3">
      <c r="A10" s="32" t="s">
        <v>110</v>
      </c>
      <c r="B10" s="30" t="s">
        <v>71</v>
      </c>
      <c r="C10" s="25" t="s">
        <v>111</v>
      </c>
      <c r="D10" s="25" t="s">
        <v>112</v>
      </c>
      <c r="E10" s="25" t="s">
        <v>113</v>
      </c>
      <c r="F10" s="25" t="s">
        <v>75</v>
      </c>
      <c r="G10" s="25" t="s">
        <v>61</v>
      </c>
      <c r="H10" s="52" t="s">
        <v>14</v>
      </c>
      <c r="I10" s="26">
        <v>46187</v>
      </c>
      <c r="J10" s="25" t="s">
        <v>114</v>
      </c>
    </row>
    <row r="11" spans="1:10" x14ac:dyDescent="0.3">
      <c r="A11" s="32" t="s">
        <v>115</v>
      </c>
      <c r="B11" s="30" t="s">
        <v>116</v>
      </c>
      <c r="C11" s="25" t="s">
        <v>117</v>
      </c>
      <c r="D11" s="25" t="s">
        <v>118</v>
      </c>
      <c r="E11" s="25" t="s">
        <v>119</v>
      </c>
      <c r="F11" s="25" t="s">
        <v>101</v>
      </c>
      <c r="G11" s="25" t="s">
        <v>61</v>
      </c>
      <c r="H11" s="52" t="s">
        <v>120</v>
      </c>
      <c r="I11" s="26">
        <v>46215</v>
      </c>
      <c r="J11" s="25" t="s">
        <v>121</v>
      </c>
    </row>
  </sheetData>
  <dataValidations count="1">
    <dataValidation type="list" allowBlank="1" showInputMessage="1" showErrorMessage="1" sqref="H2:H11" xr:uid="{EFAAF71A-CE41-4996-8D42-9F5489F7BF96}">
      <formula1>"Not Started, In Progress, Validated, Invalidated, Needs Review"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D1CAA-C64F-4A40-BB5C-32D06E7F9608}">
  <sheetPr>
    <tabColor rgb="FFFFC000"/>
  </sheetPr>
  <dimension ref="A1:N11"/>
  <sheetViews>
    <sheetView showGridLines="0" zoomScale="70" zoomScaleNormal="70" workbookViewId="0">
      <selection sqref="A1:XFD1"/>
    </sheetView>
  </sheetViews>
  <sheetFormatPr defaultColWidth="20.77734375" defaultRowHeight="13.8" x14ac:dyDescent="0.3"/>
  <cols>
    <col min="1" max="1" width="4.109375" style="39" bestFit="1" customWidth="1"/>
    <col min="2" max="2" width="18.6640625" style="37" bestFit="1" customWidth="1"/>
    <col min="3" max="3" width="62.77734375" style="15" bestFit="1" customWidth="1"/>
    <col min="4" max="4" width="61.6640625" style="15" bestFit="1" customWidth="1"/>
    <col min="5" max="5" width="68.6640625" style="15" bestFit="1" customWidth="1"/>
    <col min="6" max="6" width="13.33203125" style="13" bestFit="1" customWidth="1"/>
    <col min="7" max="7" width="10.77734375" style="13" bestFit="1" customWidth="1"/>
    <col min="8" max="8" width="9.109375" style="13" bestFit="1" customWidth="1"/>
    <col min="9" max="9" width="8.21875" style="13" bestFit="1" customWidth="1"/>
    <col min="10" max="10" width="10.5546875" style="13" bestFit="1" customWidth="1"/>
    <col min="11" max="11" width="80.44140625" style="15" bestFit="1" customWidth="1"/>
    <col min="12" max="12" width="13.109375" style="15" bestFit="1" customWidth="1"/>
    <col min="13" max="13" width="11.21875" style="15" bestFit="1" customWidth="1"/>
    <col min="14" max="14" width="35.5546875" style="15" bestFit="1" customWidth="1"/>
    <col min="15" max="16384" width="20.77734375" style="2"/>
  </cols>
  <sheetData>
    <row r="1" spans="1:14" s="1" customFormat="1" ht="14.4" thickBot="1" x14ac:dyDescent="0.35">
      <c r="A1" s="53" t="s">
        <v>45</v>
      </c>
      <c r="B1" s="54" t="s">
        <v>46</v>
      </c>
      <c r="C1" s="43" t="s">
        <v>122</v>
      </c>
      <c r="D1" s="43" t="s">
        <v>123</v>
      </c>
      <c r="E1" s="43" t="s">
        <v>124</v>
      </c>
      <c r="F1" s="43" t="s">
        <v>165</v>
      </c>
      <c r="G1" s="43" t="s">
        <v>166</v>
      </c>
      <c r="H1" s="43" t="s">
        <v>167</v>
      </c>
      <c r="I1" s="43" t="s">
        <v>168</v>
      </c>
      <c r="J1" s="43" t="s">
        <v>52</v>
      </c>
      <c r="K1" s="43" t="s">
        <v>169</v>
      </c>
      <c r="L1" s="43" t="s">
        <v>51</v>
      </c>
      <c r="M1" s="43" t="s">
        <v>53</v>
      </c>
      <c r="N1" s="44" t="s">
        <v>170</v>
      </c>
    </row>
    <row r="2" spans="1:14" x14ac:dyDescent="0.3">
      <c r="A2" s="38" t="s">
        <v>125</v>
      </c>
      <c r="B2" s="36" t="s">
        <v>71</v>
      </c>
      <c r="C2" s="34" t="s">
        <v>126</v>
      </c>
      <c r="D2" s="34" t="s">
        <v>127</v>
      </c>
      <c r="E2" s="34" t="s">
        <v>128</v>
      </c>
      <c r="F2" s="41">
        <v>4</v>
      </c>
      <c r="G2" s="41">
        <v>4</v>
      </c>
      <c r="H2" s="41">
        <v>16</v>
      </c>
      <c r="I2" s="41" t="s">
        <v>22</v>
      </c>
      <c r="J2" s="41" t="s">
        <v>191</v>
      </c>
      <c r="K2" s="34" t="s">
        <v>171</v>
      </c>
      <c r="L2" s="34" t="s">
        <v>61</v>
      </c>
      <c r="M2" s="35">
        <v>46187</v>
      </c>
      <c r="N2" s="34" t="s">
        <v>181</v>
      </c>
    </row>
    <row r="3" spans="1:14" x14ac:dyDescent="0.3">
      <c r="A3" s="39" t="s">
        <v>129</v>
      </c>
      <c r="B3" s="37" t="s">
        <v>56</v>
      </c>
      <c r="C3" s="15" t="s">
        <v>130</v>
      </c>
      <c r="D3" s="15" t="s">
        <v>131</v>
      </c>
      <c r="E3" s="15" t="s">
        <v>132</v>
      </c>
      <c r="F3" s="13">
        <v>4</v>
      </c>
      <c r="G3" s="13">
        <v>3</v>
      </c>
      <c r="H3" s="13">
        <v>12</v>
      </c>
      <c r="I3" s="13" t="s">
        <v>23</v>
      </c>
      <c r="J3" s="41" t="s">
        <v>191</v>
      </c>
      <c r="K3" s="15" t="s">
        <v>172</v>
      </c>
      <c r="L3" s="15" t="s">
        <v>61</v>
      </c>
      <c r="M3" s="33">
        <v>46173</v>
      </c>
      <c r="N3" s="15" t="s">
        <v>182</v>
      </c>
    </row>
    <row r="4" spans="1:14" x14ac:dyDescent="0.3">
      <c r="A4" s="39" t="s">
        <v>133</v>
      </c>
      <c r="B4" s="37" t="s">
        <v>64</v>
      </c>
      <c r="C4" s="15" t="s">
        <v>134</v>
      </c>
      <c r="D4" s="15" t="s">
        <v>135</v>
      </c>
      <c r="E4" s="15" t="s">
        <v>136</v>
      </c>
      <c r="F4" s="13">
        <v>4</v>
      </c>
      <c r="G4" s="13">
        <v>4</v>
      </c>
      <c r="H4" s="13">
        <v>16</v>
      </c>
      <c r="I4" s="13" t="s">
        <v>22</v>
      </c>
      <c r="J4" s="41" t="s">
        <v>191</v>
      </c>
      <c r="K4" s="15" t="s">
        <v>173</v>
      </c>
      <c r="L4" s="15" t="s">
        <v>61</v>
      </c>
      <c r="M4" s="33">
        <v>46187</v>
      </c>
      <c r="N4" s="15" t="s">
        <v>183</v>
      </c>
    </row>
    <row r="5" spans="1:14" x14ac:dyDescent="0.3">
      <c r="A5" s="39" t="s">
        <v>137</v>
      </c>
      <c r="B5" s="37" t="s">
        <v>78</v>
      </c>
      <c r="C5" s="15" t="s">
        <v>138</v>
      </c>
      <c r="D5" s="15" t="s">
        <v>139</v>
      </c>
      <c r="E5" s="15" t="s">
        <v>140</v>
      </c>
      <c r="F5" s="13">
        <v>3</v>
      </c>
      <c r="G5" s="13">
        <v>4</v>
      </c>
      <c r="H5" s="13">
        <v>12</v>
      </c>
      <c r="I5" s="13" t="s">
        <v>23</v>
      </c>
      <c r="J5" s="41" t="s">
        <v>191</v>
      </c>
      <c r="K5" s="15" t="s">
        <v>174</v>
      </c>
      <c r="L5" s="15" t="s">
        <v>61</v>
      </c>
      <c r="M5" s="33">
        <v>46173</v>
      </c>
      <c r="N5" s="15" t="s">
        <v>184</v>
      </c>
    </row>
    <row r="6" spans="1:14" x14ac:dyDescent="0.3">
      <c r="A6" s="39" t="s">
        <v>141</v>
      </c>
      <c r="B6" s="37" t="s">
        <v>84</v>
      </c>
      <c r="C6" s="15" t="s">
        <v>142</v>
      </c>
      <c r="D6" s="15" t="s">
        <v>143</v>
      </c>
      <c r="E6" s="15" t="s">
        <v>144</v>
      </c>
      <c r="F6" s="13">
        <v>3</v>
      </c>
      <c r="G6" s="13">
        <v>5</v>
      </c>
      <c r="H6" s="13">
        <v>15</v>
      </c>
      <c r="I6" s="13" t="s">
        <v>22</v>
      </c>
      <c r="J6" s="41" t="s">
        <v>191</v>
      </c>
      <c r="K6" s="15" t="s">
        <v>175</v>
      </c>
      <c r="L6" s="15" t="s">
        <v>61</v>
      </c>
      <c r="M6" s="33">
        <v>46201</v>
      </c>
      <c r="N6" s="15" t="s">
        <v>185</v>
      </c>
    </row>
    <row r="7" spans="1:14" x14ac:dyDescent="0.3">
      <c r="A7" s="39" t="s">
        <v>145</v>
      </c>
      <c r="B7" s="37" t="s">
        <v>105</v>
      </c>
      <c r="C7" s="15" t="s">
        <v>146</v>
      </c>
      <c r="D7" s="15" t="s">
        <v>147</v>
      </c>
      <c r="E7" s="15" t="s">
        <v>148</v>
      </c>
      <c r="F7" s="13">
        <v>3</v>
      </c>
      <c r="G7" s="13">
        <v>4</v>
      </c>
      <c r="H7" s="13">
        <v>12</v>
      </c>
      <c r="I7" s="13" t="s">
        <v>23</v>
      </c>
      <c r="J7" s="41" t="s">
        <v>191</v>
      </c>
      <c r="K7" s="15" t="s">
        <v>176</v>
      </c>
      <c r="L7" s="15" t="s">
        <v>61</v>
      </c>
      <c r="M7" s="33">
        <v>46201</v>
      </c>
      <c r="N7" s="15" t="s">
        <v>186</v>
      </c>
    </row>
    <row r="8" spans="1:14" x14ac:dyDescent="0.3">
      <c r="A8" s="39" t="s">
        <v>149</v>
      </c>
      <c r="B8" s="37" t="s">
        <v>116</v>
      </c>
      <c r="C8" s="15" t="s">
        <v>150</v>
      </c>
      <c r="D8" s="15" t="s">
        <v>151</v>
      </c>
      <c r="E8" s="15" t="s">
        <v>152</v>
      </c>
      <c r="F8" s="13">
        <v>3</v>
      </c>
      <c r="G8" s="13">
        <v>4</v>
      </c>
      <c r="H8" s="13">
        <v>12</v>
      </c>
      <c r="I8" s="13" t="s">
        <v>23</v>
      </c>
      <c r="J8" s="41" t="s">
        <v>191</v>
      </c>
      <c r="K8" s="15" t="s">
        <v>177</v>
      </c>
      <c r="L8" s="15" t="s">
        <v>61</v>
      </c>
      <c r="M8" s="33">
        <v>46215</v>
      </c>
      <c r="N8" s="15" t="s">
        <v>187</v>
      </c>
    </row>
    <row r="9" spans="1:14" x14ac:dyDescent="0.3">
      <c r="A9" s="39" t="s">
        <v>153</v>
      </c>
      <c r="B9" s="37" t="s">
        <v>90</v>
      </c>
      <c r="C9" s="15" t="s">
        <v>154</v>
      </c>
      <c r="D9" s="15" t="s">
        <v>155</v>
      </c>
      <c r="E9" s="15" t="s">
        <v>156</v>
      </c>
      <c r="F9" s="13">
        <v>3</v>
      </c>
      <c r="G9" s="13">
        <v>3</v>
      </c>
      <c r="H9" s="13">
        <v>9</v>
      </c>
      <c r="I9" s="13" t="s">
        <v>23</v>
      </c>
      <c r="J9" s="41" t="s">
        <v>204</v>
      </c>
      <c r="K9" s="15" t="s">
        <v>178</v>
      </c>
      <c r="L9" s="15" t="s">
        <v>61</v>
      </c>
      <c r="M9" s="33">
        <v>46187</v>
      </c>
      <c r="N9" s="15" t="s">
        <v>188</v>
      </c>
    </row>
    <row r="10" spans="1:14" x14ac:dyDescent="0.3">
      <c r="A10" s="39" t="s">
        <v>157</v>
      </c>
      <c r="B10" s="37" t="s">
        <v>97</v>
      </c>
      <c r="C10" s="15" t="s">
        <v>158</v>
      </c>
      <c r="D10" s="15" t="s">
        <v>159</v>
      </c>
      <c r="E10" s="15" t="s">
        <v>160</v>
      </c>
      <c r="F10" s="13">
        <v>3</v>
      </c>
      <c r="G10" s="13">
        <v>3</v>
      </c>
      <c r="H10" s="13">
        <v>9</v>
      </c>
      <c r="I10" s="13" t="s">
        <v>23</v>
      </c>
      <c r="J10" s="41" t="s">
        <v>204</v>
      </c>
      <c r="K10" s="15" t="s">
        <v>179</v>
      </c>
      <c r="L10" s="15" t="s">
        <v>61</v>
      </c>
      <c r="M10" s="33">
        <v>46173</v>
      </c>
      <c r="N10" s="15" t="s">
        <v>189</v>
      </c>
    </row>
    <row r="11" spans="1:14" x14ac:dyDescent="0.3">
      <c r="A11" s="39" t="s">
        <v>161</v>
      </c>
      <c r="B11" s="37" t="s">
        <v>116</v>
      </c>
      <c r="C11" s="15" t="s">
        <v>162</v>
      </c>
      <c r="D11" s="15" t="s">
        <v>163</v>
      </c>
      <c r="E11" s="15" t="s">
        <v>164</v>
      </c>
      <c r="F11" s="13">
        <v>2</v>
      </c>
      <c r="G11" s="13">
        <v>4</v>
      </c>
      <c r="H11" s="13">
        <v>8</v>
      </c>
      <c r="I11" s="13" t="s">
        <v>23</v>
      </c>
      <c r="J11" s="41" t="s">
        <v>191</v>
      </c>
      <c r="K11" s="15" t="s">
        <v>180</v>
      </c>
      <c r="L11" s="15" t="s">
        <v>61</v>
      </c>
      <c r="M11" s="33">
        <v>46215</v>
      </c>
      <c r="N11" s="15" t="s">
        <v>190</v>
      </c>
    </row>
  </sheetData>
  <dataValidations count="3">
    <dataValidation type="list" allowBlank="1" showInputMessage="1" showErrorMessage="1" sqref="F2:G11" xr:uid="{5D831FA7-623C-4AE2-90EF-22A165DE9723}">
      <formula1>"1, 2, 3, 4, 5"</formula1>
    </dataValidation>
    <dataValidation type="list" allowBlank="1" showInputMessage="1" showErrorMessage="1" sqref="I2:I11" xr:uid="{B4BB387D-EE0A-4B44-8519-132CB89FB26B}">
      <formula1>"Low, Medium, High"</formula1>
    </dataValidation>
    <dataValidation type="list" allowBlank="1" showInputMessage="1" showErrorMessage="1" sqref="J2:J11" xr:uid="{9DAADC4C-18CB-4EA3-A6FF-0ACD55C8DB62}">
      <formula1>"Open, Monitoring, Mitigated, Closed, Accepted"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1BDD-B8AF-459F-A588-21641284B389}">
  <sheetPr>
    <tabColor rgb="FFFFFF00"/>
  </sheetPr>
  <dimension ref="A1:F13"/>
  <sheetViews>
    <sheetView showGridLines="0" workbookViewId="0">
      <selection sqref="A1:F1"/>
    </sheetView>
  </sheetViews>
  <sheetFormatPr defaultRowHeight="13.8" x14ac:dyDescent="0.3"/>
  <cols>
    <col min="1" max="1" width="16.21875" style="1" bestFit="1" customWidth="1"/>
    <col min="2" max="2" width="10.6640625" style="1" bestFit="1" customWidth="1"/>
    <col min="3" max="3" width="18" style="1" bestFit="1" customWidth="1"/>
    <col min="4" max="4" width="5.6640625" style="1" bestFit="1" customWidth="1"/>
    <col min="5" max="6" width="3" style="1" bestFit="1" customWidth="1"/>
    <col min="7" max="16384" width="8.88671875" style="1"/>
  </cols>
  <sheetData>
    <row r="1" spans="1:6" ht="14.4" thickBot="1" x14ac:dyDescent="0.35">
      <c r="A1" s="64" t="s">
        <v>192</v>
      </c>
      <c r="B1" s="65"/>
      <c r="C1" s="65"/>
      <c r="D1" s="65"/>
      <c r="E1" s="65"/>
      <c r="F1" s="66"/>
    </row>
    <row r="2" spans="1:6" ht="14.4" thickBot="1" x14ac:dyDescent="0.35">
      <c r="A2" s="3"/>
      <c r="B2" s="4"/>
      <c r="C2" s="4"/>
      <c r="D2" s="4"/>
      <c r="E2" s="4"/>
      <c r="F2" s="5"/>
    </row>
    <row r="3" spans="1:6" ht="14.4" thickBot="1" x14ac:dyDescent="0.35">
      <c r="A3" s="42" t="s">
        <v>193</v>
      </c>
      <c r="B3" s="43">
        <v>1</v>
      </c>
      <c r="C3" s="43">
        <v>2</v>
      </c>
      <c r="D3" s="43">
        <v>3</v>
      </c>
      <c r="E3" s="43">
        <v>4</v>
      </c>
      <c r="F3" s="44">
        <v>5</v>
      </c>
    </row>
    <row r="4" spans="1:6" ht="14.4" x14ac:dyDescent="0.3">
      <c r="A4" s="41">
        <v>1</v>
      </c>
      <c r="B4" s="62">
        <f t="shared" ref="B4:F8" si="0">$A4*B$3</f>
        <v>1</v>
      </c>
      <c r="C4" s="62">
        <f t="shared" si="0"/>
        <v>2</v>
      </c>
      <c r="D4" s="62">
        <f t="shared" si="0"/>
        <v>3</v>
      </c>
      <c r="E4" s="62">
        <f t="shared" si="0"/>
        <v>4</v>
      </c>
      <c r="F4" s="62">
        <f t="shared" si="0"/>
        <v>5</v>
      </c>
    </row>
    <row r="5" spans="1:6" ht="14.4" x14ac:dyDescent="0.3">
      <c r="A5" s="13">
        <v>2</v>
      </c>
      <c r="B5" s="40">
        <f t="shared" si="0"/>
        <v>2</v>
      </c>
      <c r="C5" s="40">
        <f t="shared" si="0"/>
        <v>4</v>
      </c>
      <c r="D5" s="40">
        <f t="shared" si="0"/>
        <v>6</v>
      </c>
      <c r="E5" s="40">
        <f t="shared" si="0"/>
        <v>8</v>
      </c>
      <c r="F5" s="40">
        <f t="shared" si="0"/>
        <v>10</v>
      </c>
    </row>
    <row r="6" spans="1:6" ht="14.4" x14ac:dyDescent="0.3">
      <c r="A6" s="13">
        <v>3</v>
      </c>
      <c r="B6" s="40">
        <f t="shared" si="0"/>
        <v>3</v>
      </c>
      <c r="C6" s="40">
        <f t="shared" si="0"/>
        <v>6</v>
      </c>
      <c r="D6" s="40">
        <f t="shared" si="0"/>
        <v>9</v>
      </c>
      <c r="E6" s="40">
        <f t="shared" si="0"/>
        <v>12</v>
      </c>
      <c r="F6" s="40">
        <f t="shared" si="0"/>
        <v>15</v>
      </c>
    </row>
    <row r="7" spans="1:6" ht="14.4" x14ac:dyDescent="0.3">
      <c r="A7" s="13">
        <v>4</v>
      </c>
      <c r="B7" s="40">
        <f t="shared" si="0"/>
        <v>4</v>
      </c>
      <c r="C7" s="40">
        <f t="shared" si="0"/>
        <v>8</v>
      </c>
      <c r="D7" s="40">
        <f t="shared" si="0"/>
        <v>12</v>
      </c>
      <c r="E7" s="40">
        <f t="shared" si="0"/>
        <v>16</v>
      </c>
      <c r="F7" s="40">
        <f t="shared" si="0"/>
        <v>20</v>
      </c>
    </row>
    <row r="8" spans="1:6" ht="14.4" x14ac:dyDescent="0.3">
      <c r="A8" s="13">
        <v>5</v>
      </c>
      <c r="B8" s="40">
        <f t="shared" si="0"/>
        <v>5</v>
      </c>
      <c r="C8" s="40">
        <f t="shared" si="0"/>
        <v>10</v>
      </c>
      <c r="D8" s="40">
        <f t="shared" si="0"/>
        <v>15</v>
      </c>
      <c r="E8" s="40">
        <f t="shared" si="0"/>
        <v>20</v>
      </c>
      <c r="F8" s="40">
        <f t="shared" si="0"/>
        <v>25</v>
      </c>
    </row>
    <row r="9" spans="1:6" ht="14.4" thickBot="1" x14ac:dyDescent="0.35">
      <c r="A9" s="3"/>
      <c r="B9" s="4"/>
      <c r="C9" s="4"/>
      <c r="D9" s="4"/>
      <c r="E9" s="4"/>
      <c r="F9" s="5"/>
    </row>
    <row r="10" spans="1:6" ht="14.4" thickBot="1" x14ac:dyDescent="0.35">
      <c r="A10" s="42" t="s">
        <v>168</v>
      </c>
      <c r="B10" s="43" t="s">
        <v>194</v>
      </c>
      <c r="C10" s="43" t="s">
        <v>195</v>
      </c>
      <c r="D10" s="44" t="s">
        <v>20</v>
      </c>
      <c r="E10" s="4"/>
      <c r="F10" s="5"/>
    </row>
    <row r="11" spans="1:6" x14ac:dyDescent="0.3">
      <c r="A11" s="41" t="s">
        <v>24</v>
      </c>
      <c r="B11" s="63" t="s">
        <v>196</v>
      </c>
      <c r="C11" s="41" t="s">
        <v>199</v>
      </c>
      <c r="D11" s="41">
        <f>COUNTIF('Risk Register'!$I$2:$I$50,A11)</f>
        <v>0</v>
      </c>
      <c r="E11" s="4"/>
      <c r="F11" s="5"/>
    </row>
    <row r="12" spans="1:6" x14ac:dyDescent="0.3">
      <c r="A12" s="13" t="s">
        <v>23</v>
      </c>
      <c r="B12" s="13" t="s">
        <v>197</v>
      </c>
      <c r="C12" s="13" t="s">
        <v>200</v>
      </c>
      <c r="D12" s="13">
        <f>COUNTIF('Risk Register'!$I$2:$I$50,A12)</f>
        <v>7</v>
      </c>
      <c r="E12" s="4"/>
      <c r="F12" s="5"/>
    </row>
    <row r="13" spans="1:6" x14ac:dyDescent="0.3">
      <c r="A13" s="13" t="s">
        <v>22</v>
      </c>
      <c r="B13" s="13" t="s">
        <v>198</v>
      </c>
      <c r="C13" s="13" t="s">
        <v>201</v>
      </c>
      <c r="D13" s="13">
        <f>COUNTIF('Risk Register'!$I$2:$I$50,A13)</f>
        <v>3</v>
      </c>
      <c r="E13" s="11"/>
      <c r="F13" s="12"/>
    </row>
  </sheetData>
  <mergeCells count="1">
    <mergeCell ref="A1:F1"/>
  </mergeCells>
  <conditionalFormatting sqref="B4:F8">
    <cfRule type="colorScale" priority="1">
      <colorScale>
        <cfvo type="min"/>
        <cfvo type="percentile" val="50"/>
        <cfvo type="max"/>
        <color rgb="FFD9EAD3"/>
        <color rgb="FFFFF2CC"/>
        <color rgb="FFF4CCCC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64486-6D56-4C9F-9E02-A5898B521228}">
  <sheetPr>
    <tabColor rgb="FF92D050"/>
  </sheetPr>
  <dimension ref="A1:F10"/>
  <sheetViews>
    <sheetView showGridLines="0" workbookViewId="0"/>
  </sheetViews>
  <sheetFormatPr defaultRowHeight="13.8" x14ac:dyDescent="0.3"/>
  <cols>
    <col min="1" max="1" width="11.6640625" style="2" bestFit="1" customWidth="1"/>
    <col min="2" max="2" width="9.77734375" style="2" bestFit="1" customWidth="1"/>
    <col min="3" max="3" width="15.88671875" style="2" bestFit="1" customWidth="1"/>
    <col min="4" max="4" width="11.88671875" style="2" bestFit="1" customWidth="1"/>
    <col min="5" max="5" width="9" style="2" bestFit="1" customWidth="1"/>
    <col min="6" max="6" width="6.44140625" style="2" bestFit="1" customWidth="1"/>
    <col min="7" max="16384" width="8.88671875" style="2"/>
  </cols>
  <sheetData>
    <row r="1" spans="1:6" s="1" customFormat="1" ht="14.4" thickBot="1" x14ac:dyDescent="0.35">
      <c r="A1" s="42" t="s">
        <v>52</v>
      </c>
      <c r="B1" s="43" t="s">
        <v>202</v>
      </c>
      <c r="C1" s="43" t="s">
        <v>46</v>
      </c>
      <c r="D1" s="43" t="s">
        <v>51</v>
      </c>
      <c r="E1" s="43" t="s">
        <v>203</v>
      </c>
      <c r="F1" s="44" t="s">
        <v>124</v>
      </c>
    </row>
    <row r="2" spans="1:6" x14ac:dyDescent="0.3">
      <c r="A2" s="45" t="s">
        <v>120</v>
      </c>
      <c r="B2" s="34" t="s">
        <v>191</v>
      </c>
      <c r="C2" s="34" t="s">
        <v>56</v>
      </c>
      <c r="D2" s="34" t="s">
        <v>61</v>
      </c>
      <c r="E2" s="34">
        <v>1</v>
      </c>
      <c r="F2" s="46">
        <v>1</v>
      </c>
    </row>
    <row r="3" spans="1:6" x14ac:dyDescent="0.3">
      <c r="A3" s="47" t="s">
        <v>102</v>
      </c>
      <c r="B3" s="15" t="s">
        <v>204</v>
      </c>
      <c r="C3" s="15" t="s">
        <v>71</v>
      </c>
      <c r="D3" s="15" t="s">
        <v>205</v>
      </c>
      <c r="E3" s="15">
        <v>2</v>
      </c>
      <c r="F3" s="48">
        <v>2</v>
      </c>
    </row>
    <row r="4" spans="1:6" x14ac:dyDescent="0.3">
      <c r="A4" s="47" t="s">
        <v>206</v>
      </c>
      <c r="B4" s="15" t="s">
        <v>207</v>
      </c>
      <c r="C4" s="15" t="s">
        <v>116</v>
      </c>
      <c r="D4" s="15"/>
      <c r="E4" s="15">
        <v>3</v>
      </c>
      <c r="F4" s="48">
        <v>3</v>
      </c>
    </row>
    <row r="5" spans="1:6" x14ac:dyDescent="0.3">
      <c r="A5" s="47" t="s">
        <v>208</v>
      </c>
      <c r="B5" s="15" t="s">
        <v>209</v>
      </c>
      <c r="C5" s="15" t="s">
        <v>105</v>
      </c>
      <c r="D5" s="15"/>
      <c r="E5" s="15">
        <v>4</v>
      </c>
      <c r="F5" s="48">
        <v>4</v>
      </c>
    </row>
    <row r="6" spans="1:6" x14ac:dyDescent="0.3">
      <c r="A6" s="47" t="s">
        <v>14</v>
      </c>
      <c r="B6" s="15" t="s">
        <v>210</v>
      </c>
      <c r="C6" s="15" t="s">
        <v>84</v>
      </c>
      <c r="D6" s="15"/>
      <c r="E6" s="15">
        <v>5</v>
      </c>
      <c r="F6" s="48">
        <v>5</v>
      </c>
    </row>
    <row r="7" spans="1:6" x14ac:dyDescent="0.3">
      <c r="A7" s="47"/>
      <c r="B7" s="15"/>
      <c r="C7" s="15" t="s">
        <v>90</v>
      </c>
      <c r="D7" s="15"/>
      <c r="E7" s="15"/>
      <c r="F7" s="48"/>
    </row>
    <row r="8" spans="1:6" x14ac:dyDescent="0.3">
      <c r="A8" s="47"/>
      <c r="B8" s="15"/>
      <c r="C8" s="15" t="s">
        <v>97</v>
      </c>
      <c r="D8" s="15"/>
      <c r="E8" s="15"/>
      <c r="F8" s="48"/>
    </row>
    <row r="9" spans="1:6" x14ac:dyDescent="0.3">
      <c r="A9" s="47"/>
      <c r="B9" s="15"/>
      <c r="C9" s="15" t="s">
        <v>64</v>
      </c>
      <c r="D9" s="15"/>
      <c r="E9" s="15"/>
      <c r="F9" s="48"/>
    </row>
    <row r="10" spans="1:6" ht="14.4" thickBot="1" x14ac:dyDescent="0.35">
      <c r="A10" s="49"/>
      <c r="B10" s="50"/>
      <c r="C10" s="50" t="s">
        <v>78</v>
      </c>
      <c r="D10" s="50"/>
      <c r="E10" s="50"/>
      <c r="F10" s="5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Assumptions Register</vt:lpstr>
      <vt:lpstr>Risk Register</vt:lpstr>
      <vt:lpstr>Risk Matrix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Reid</dc:creator>
  <cp:lastModifiedBy>Matthew Reid</cp:lastModifiedBy>
  <dcterms:created xsi:type="dcterms:W3CDTF">2015-06-05T18:17:20Z</dcterms:created>
  <dcterms:modified xsi:type="dcterms:W3CDTF">2026-05-22T13:56:19Z</dcterms:modified>
</cp:coreProperties>
</file>