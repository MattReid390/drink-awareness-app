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th\Documents\DrinkAwarenessApp\docs\"/>
    </mc:Choice>
  </mc:AlternateContent>
  <xr:revisionPtr revIDLastSave="0" documentId="8_{A2FA4115-3975-4B10-8A2A-4DA6276BEA9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shboard" sheetId="1" r:id="rId1"/>
    <sheet name="Assumptions Register" sheetId="2" r:id="rId2"/>
    <sheet name="Risk Register" sheetId="3" r:id="rId3"/>
    <sheet name="Risk Matrix" sheetId="4" r:id="rId4"/>
    <sheet name="List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3" l="1"/>
  <c r="H11" i="3"/>
  <c r="H10" i="3"/>
  <c r="H9" i="3"/>
  <c r="H8" i="3"/>
  <c r="H7" i="3"/>
  <c r="H6" i="3"/>
  <c r="H5" i="3"/>
  <c r="H4" i="3"/>
  <c r="H3" i="3"/>
  <c r="I5" i="1"/>
  <c r="G5" i="1"/>
  <c r="E5" i="1"/>
  <c r="C5" i="1"/>
  <c r="A5" i="1"/>
</calcChain>
</file>

<file path=xl/sharedStrings.xml><?xml version="1.0" encoding="utf-8"?>
<sst xmlns="http://schemas.openxmlformats.org/spreadsheetml/2006/main" count="308" uniqueCount="198">
  <si>
    <t>Drink Awareness App — Assumptions &amp; Risks Dashboard</t>
  </si>
  <si>
    <t>Purpose: Track key project assumptions and risks. Update status as research, design and build work progresses.</t>
  </si>
  <si>
    <t>Total Assumptions</t>
  </si>
  <si>
    <t>Total Risks</t>
  </si>
  <si>
    <t>High Risks</t>
  </si>
  <si>
    <t>Open Risks</t>
  </si>
  <si>
    <t>Validated</t>
  </si>
  <si>
    <t>No.</t>
  </si>
  <si>
    <t>Next Action</t>
  </si>
  <si>
    <t>Type</t>
  </si>
  <si>
    <t>Target Date</t>
  </si>
  <si>
    <t>Review assumptions after interviews/surveys</t>
  </si>
  <si>
    <t>Due</t>
  </si>
  <si>
    <t>31 May 2026</t>
  </si>
  <si>
    <t>Update risk scores after competitor research</t>
  </si>
  <si>
    <t>Move validated items into MVP scope/backlog</t>
  </si>
  <si>
    <t>14 Jun 2026</t>
  </si>
  <si>
    <t>Review responsible design risks before UX/UI design</t>
  </si>
  <si>
    <t>28 Jun 2026</t>
  </si>
  <si>
    <t>Re-check high risks before core build</t>
  </si>
  <si>
    <t>13 Jul 2026</t>
  </si>
  <si>
    <t>How to use this workbook</t>
  </si>
  <si>
    <t xml:space="preserve">  1.  Update assumptions and risks as research, design and build work progresses.</t>
  </si>
  <si>
    <t xml:space="preserve">  2.  Use the Status columns to show whether items are open, validated, mitigated or closed.</t>
  </si>
  <si>
    <t xml:space="preserve">  3.  Risk Score is calculated automatically as Likelihood × Impact.</t>
  </si>
  <si>
    <t xml:space="preserve">  4.  High risks should be reviewed before each major project phase.</t>
  </si>
  <si>
    <t xml:space="preserve">  5.  Use the Evidence / Notes columns to record decisions from interviews and testing.</t>
  </si>
  <si>
    <t xml:space="preserve">  6.  Keep out-of-scope features separate from MVP work to protect the timeline.</t>
  </si>
  <si>
    <t>Assumptions Register</t>
  </si>
  <si>
    <t>ID</t>
  </si>
  <si>
    <t>Category</t>
  </si>
  <si>
    <t>Assumption</t>
  </si>
  <si>
    <t>Impact if Wrong</t>
  </si>
  <si>
    <t>Validation Method</t>
  </si>
  <si>
    <t>Related Deliverable</t>
  </si>
  <si>
    <t>Owner</t>
  </si>
  <si>
    <t>Status</t>
  </si>
  <si>
    <t>Review Date</t>
  </si>
  <si>
    <t>Evidence / Notes</t>
  </si>
  <si>
    <t>A01</t>
  </si>
  <si>
    <t>User Research</t>
  </si>
  <si>
    <t>Users are willing to manually log drinks during or after social outings.</t>
  </si>
  <si>
    <t>The core logging feature may not be used regularly.</t>
  </si>
  <si>
    <t>Interview/survey participants about when and how they would log drinks.</t>
  </si>
  <si>
    <t>03-interview-questions.docx</t>
  </si>
  <si>
    <t>Matthew Reid</t>
  </si>
  <si>
    <t>Needs Review</t>
  </si>
  <si>
    <t>Validate before finalising MVP flow.</t>
  </si>
  <si>
    <t>A02</t>
  </si>
  <si>
    <t>Venue/Menu Data</t>
  </si>
  <si>
    <t>Venue and menu information adds value to a drink awareness app.</t>
  </si>
  <si>
    <t>The app may be more complex than necessary if users only want tracking.</t>
  </si>
  <si>
    <t>Ask users to rank venue discovery against logging and summaries.</t>
  </si>
  <si>
    <t>02-research-plan.docx</t>
  </si>
  <si>
    <t>Compare with competitor apps.</t>
  </si>
  <si>
    <t>A03</t>
  </si>
  <si>
    <t>Product Scope</t>
  </si>
  <si>
    <t>Sample venue and menu data is acceptable for an MVP demonstration.</t>
  </si>
  <si>
    <t>The MVP may feel unrealistic without live venue data.</t>
  </si>
  <si>
    <t>Use realistic sample data and test whether users understand it is an MVP.</t>
  </si>
  <si>
    <t>04-mvp-scope.docx</t>
  </si>
  <si>
    <t>Useful for keeping build achievable.</t>
  </si>
  <si>
    <t>A04</t>
  </si>
  <si>
    <t>AI Insights</t>
  </si>
  <si>
    <t>AI-generated insights will make the app more valuable than a basic logbook.</t>
  </si>
  <si>
    <t>The AI feature may feel generic, unnecessary or untrusted.</t>
  </si>
  <si>
    <t>Test example insight wording with interview participants.</t>
  </si>
  <si>
    <t>Keep tone supportive and non-medical.</t>
  </si>
  <si>
    <t>A05</t>
  </si>
  <si>
    <t>Responsible Design</t>
  </si>
  <si>
    <t>Users prefer supportive, non-judgemental feedback about drinking awareness.</t>
  </si>
  <si>
    <t>Poor wording could make users feel judged or unsafe.</t>
  </si>
  <si>
    <t>Ask users about preferred tone and messages to avoid.</t>
  </si>
  <si>
    <t>Important because app relates to alcohol.</t>
  </si>
  <si>
    <t>A06</t>
  </si>
  <si>
    <t>Business Model</t>
  </si>
  <si>
    <t>A freemium model is suitable for the app.</t>
  </si>
  <si>
    <t>Premium features may not justify a subscription.</t>
  </si>
  <si>
    <t>Ask users whether advanced insights/planning would be worth paying for.</t>
  </si>
  <si>
    <t>01-product-brief.docx</t>
  </si>
  <si>
    <t>Payment system remains out of MVP.</t>
  </si>
  <si>
    <t>A07</t>
  </si>
  <si>
    <t>Timeline</t>
  </si>
  <si>
    <t>The MVP can be planned, built, tested and prepared by 18 October 2026.</t>
  </si>
  <si>
    <t>The release may slip if scope expands.</t>
  </si>
  <si>
    <t>Review roadmap milestones after each phase.</t>
  </si>
  <si>
    <t>05-roadmap.docx</t>
  </si>
  <si>
    <t>In Progress</t>
  </si>
  <si>
    <t>Keep later features out of scope.</t>
  </si>
  <si>
    <t>A08</t>
  </si>
  <si>
    <t>Data/Privacy</t>
  </si>
  <si>
    <t>Users will be comfortable logging drinks if data collection is minimal.</t>
  </si>
  <si>
    <t>Privacy concerns may reduce adoption.</t>
  </si>
  <si>
    <t>Ask participants what data they are comfortable sharing.</t>
  </si>
  <si>
    <t>Consider local/simple usage for MVP.</t>
  </si>
  <si>
    <t>A09</t>
  </si>
  <si>
    <t>Daily and weekly summaries are enough for the first version.</t>
  </si>
  <si>
    <t>Users may expect longer-term trends or charts.</t>
  </si>
  <si>
    <t>Ask users what summaries they would realistically check.</t>
  </si>
  <si>
    <t>Advanced analytics can be premium/later.</t>
  </si>
  <si>
    <t>A10</t>
  </si>
  <si>
    <t>Technical</t>
  </si>
  <si>
    <t>A cross-platform approach is practical for iOS and Android.</t>
  </si>
  <si>
    <t>Technical complexity may increase if platform-specific features are needed.</t>
  </si>
  <si>
    <t>Assess technical stack during the technical setup phase.</t>
  </si>
  <si>
    <t>Not Started</t>
  </si>
  <si>
    <t>12 Jul 2026</t>
  </si>
  <si>
    <t>Decision required before core build.</t>
  </si>
  <si>
    <t>Risk Register</t>
  </si>
  <si>
    <t>Risk</t>
  </si>
  <si>
    <t>Cause</t>
  </si>
  <si>
    <t>Impact</t>
  </si>
  <si>
    <t>Likelihood (1-5)</t>
  </si>
  <si>
    <t>Impact (1-5)</t>
  </si>
  <si>
    <t>Risk Score</t>
  </si>
  <si>
    <t>Priority</t>
  </si>
  <si>
    <t>Mitigation</t>
  </si>
  <si>
    <t>Notes</t>
  </si>
  <si>
    <t>R01</t>
  </si>
  <si>
    <t>MVP scope becomes too large.</t>
  </si>
  <si>
    <t>Too many later features are pulled into the first build.</t>
  </si>
  <si>
    <t>Development takes longer than planned and core features are not finished.</t>
  </si>
  <si>
    <t>High</t>
  </si>
  <si>
    <t>Open</t>
  </si>
  <si>
    <t>Keep MVP features limited to must-have scope and track later ideas separately.</t>
  </si>
  <si>
    <t>Watch during backlog planning.</t>
  </si>
  <si>
    <t>R02</t>
  </si>
  <si>
    <t>Users forget to log drinks.</t>
  </si>
  <si>
    <t>Manual logging may be inconvenient during a social outing.</t>
  </si>
  <si>
    <t>Summaries and insights become incomplete.</t>
  </si>
  <si>
    <t>Medium</t>
  </si>
  <si>
    <t>Keep the logging flow fast; consider reminders as a later feature.</t>
  </si>
  <si>
    <t>Validate in interviews.</t>
  </si>
  <si>
    <t>R03</t>
  </si>
  <si>
    <t>Venue and menu data is hard to maintain.</t>
  </si>
  <si>
    <t>Live venue data and prices may change often.</t>
  </si>
  <si>
    <t>Data may become inaccurate or outdated.</t>
  </si>
  <si>
    <t>Use sample or limited realistic data for MVP; avoid promising live coverage.</t>
  </si>
  <si>
    <t>Important technical/business risk.</t>
  </si>
  <si>
    <t>R04</t>
  </si>
  <si>
    <t>AI insights feel judgemental or generic.</t>
  </si>
  <si>
    <t>Poor wording or weak logic may reduce trust.</t>
  </si>
  <si>
    <t>Users may ignore or dislike the feature.</t>
  </si>
  <si>
    <t>Use supportive wording, no medical claims, and insights based on clear logged patterns.</t>
  </si>
  <si>
    <t>Test example wording.</t>
  </si>
  <si>
    <t>R05</t>
  </si>
  <si>
    <t>Alcohol-related features are misunderstood as encouraging drinking.</t>
  </si>
  <si>
    <t>Venue discovery, menus or social features may appear promotional.</t>
  </si>
  <si>
    <t>App could conflict with responsible design goals.</t>
  </si>
  <si>
    <t>Avoid leaderboards, gamified consumption and wording that encourages drinking more.</t>
  </si>
  <si>
    <t>High importance due to subject matter.</t>
  </si>
  <si>
    <t>R06</t>
  </si>
  <si>
    <t>Privacy concerns reduce user adoption.</t>
  </si>
  <si>
    <t>Users may not want to share location, venue or drinking data.</t>
  </si>
  <si>
    <t>Users may avoid logging real information.</t>
  </si>
  <si>
    <t>Minimise data collection; allow simple use; make data purpose clear.</t>
  </si>
  <si>
    <t>Assess during UX/UI design.</t>
  </si>
  <si>
    <t>R07</t>
  </si>
  <si>
    <t>Map or venue discovery integration is harder than expected.</t>
  </si>
  <si>
    <t>APIs, permissions or platform differences may add complexity.</t>
  </si>
  <si>
    <t>Technical setup and build phases may slip.</t>
  </si>
  <si>
    <t>Start with sample venue data and simple map/list approach.</t>
  </si>
  <si>
    <t>Avoid over-engineering MVP.</t>
  </si>
  <si>
    <t>R08</t>
  </si>
  <si>
    <t>Premium features are not compelling enough.</t>
  </si>
  <si>
    <t>Users may not see value in paying for advanced insights.</t>
  </si>
  <si>
    <t>Freemium model may need revision.</t>
  </si>
  <si>
    <t>Monitoring</t>
  </si>
  <si>
    <t>Keep premium placeholders light in MVP and validate willingness to pay.</t>
  </si>
  <si>
    <t>Business model can evolve later.</t>
  </si>
  <si>
    <t>R09</t>
  </si>
  <si>
    <t>Research feedback takes longer than expected.</t>
  </si>
  <si>
    <t>Finding participants may be slower than planned.</t>
  </si>
  <si>
    <t>MVP scope and backlog planning may be delayed.</t>
  </si>
  <si>
    <t>Use a small sample target and continue with best available feedback.</t>
  </si>
  <si>
    <t>Early project risk.</t>
  </si>
  <si>
    <t>R10</t>
  </si>
  <si>
    <t>Cross-platform build choice delays development.</t>
  </si>
  <si>
    <t>Need to select and configure a suitable iOS/Android stack.</t>
  </si>
  <si>
    <t>Core feature build may start late.</t>
  </si>
  <si>
    <t>Make stack decision during technical setup phase and keep first build simple.</t>
  </si>
  <si>
    <t>Review after UX/UI phase.</t>
  </si>
  <si>
    <t>Risk Matrix — Likelihood × Impact</t>
  </si>
  <si>
    <t>Likelihood \ Impact</t>
  </si>
  <si>
    <t>15–25</t>
  </si>
  <si>
    <t>Actively Reduce</t>
  </si>
  <si>
    <t>8–14</t>
  </si>
  <si>
    <t>Monitor and Mitigate</t>
  </si>
  <si>
    <t>Low</t>
  </si>
  <si>
    <t>1–7</t>
  </si>
  <si>
    <t>Track</t>
  </si>
  <si>
    <t>Risk Status</t>
  </si>
  <si>
    <t>Likelihood</t>
  </si>
  <si>
    <t>TBC</t>
  </si>
  <si>
    <t>Mitigated</t>
  </si>
  <si>
    <t>Invalidated</t>
  </si>
  <si>
    <t>Closed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</si>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</sst>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7A9BB5"/>
      <name val="Arial"/>
      <charset val="1"/>
    </font>
    <font>
      <b/>
      <sz val="9"/>
      <color rgb="FFFFFFFF"/>
      <name val="Arial"/>
      <charset val="1"/>
    </font>
    <font>
      <b/>
      <sz val="18"/>
      <color rgb="FF1B3A5C"/>
      <name val="Arial"/>
      <charset val="1"/>
    </font>
    <font>
      <b/>
      <sz val="10"/>
      <color rgb="FFFFFFFF"/>
      <name val="Arial"/>
      <charset val="1"/>
    </font>
    <font>
      <sz val="10"/>
      <color rgb="FF1A1A2E"/>
      <name val="Arial"/>
      <charset val="1"/>
    </font>
    <font>
      <sz val="9"/>
      <color rgb="FF1A1A2E"/>
      <name val="Arial"/>
      <charset val="1"/>
    </font>
    <font>
      <b/>
      <sz val="12"/>
      <color rgb="FFFFFFFF"/>
      <name val="Arial"/>
      <charset val="1"/>
    </font>
    <font>
      <b/>
      <sz val="9"/>
      <color rgb="FF7A5C00"/>
      <name val="Arial"/>
      <charset val="1"/>
    </font>
    <font>
      <b/>
      <sz val="9"/>
      <color rgb="FF2E6DA4"/>
      <name val="Arial"/>
      <charset val="1"/>
    </font>
    <font>
      <b/>
      <sz val="9"/>
      <color rgb="FF5C1A1A"/>
      <name val="Arial"/>
      <charset val="1"/>
    </font>
    <font>
      <b/>
      <sz val="11"/>
      <color rgb="FF1A5C35"/>
      <name val="Arial"/>
      <charset val="1"/>
    </font>
    <font>
      <b/>
      <sz val="11"/>
      <color rgb="FF7A5C00"/>
      <name val="Arial"/>
      <charset val="1"/>
    </font>
    <font>
      <b/>
      <sz val="11"/>
      <color rgb="FF5C1A1A"/>
      <name val="Arial"/>
      <charset val="1"/>
    </font>
    <font>
      <b/>
      <sz val="9"/>
      <color rgb="FF1A5C35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F2F5F8"/>
        <bgColor rgb="FFE6F4EC"/>
      </patternFill>
    </fill>
    <fill>
      <patternFill patternType="solid">
        <fgColor rgb="FFD6E8F7"/>
        <bgColor rgb="FFE6F4EC"/>
      </patternFill>
    </fill>
    <fill>
      <patternFill patternType="solid">
        <fgColor rgb="FFFFFFFF"/>
        <bgColor rgb="FFF2F5F8"/>
      </patternFill>
    </fill>
    <fill>
      <patternFill patternType="solid">
        <fgColor rgb="FFFFF8E1"/>
        <bgColor rgb="FFF2F5F8"/>
      </patternFill>
    </fill>
    <fill>
      <patternFill patternType="solid">
        <fgColor rgb="FFFAE8E8"/>
        <bgColor rgb="FFF2F5F8"/>
      </patternFill>
    </fill>
    <fill>
      <patternFill patternType="solid">
        <fgColor rgb="FF2E6DA4"/>
        <bgColor rgb="FF3366FF"/>
      </patternFill>
    </fill>
    <fill>
      <patternFill patternType="solid">
        <fgColor rgb="FFE6F4EC"/>
        <bgColor rgb="FFF2F5F8"/>
      </patternFill>
    </fill>
  </fills>
  <borders count="3">
    <border>
      <left/>
      <right/>
      <top/>
      <bottom/>
      <diagonal/>
    </border>
    <border>
      <left style="thin">
        <color rgb="FFC5D8EC"/>
      </left>
      <right style="thin">
        <color rgb="FFC5D8EC"/>
      </right>
      <top style="thin">
        <color rgb="FFC5D8EC"/>
      </top>
      <bottom style="thin">
        <color rgb="FFC5D8EC"/>
      </bottom>
      <diagonal/>
    </border>
    <border>
      <left/>
      <right/>
      <top/>
      <bottom style="thin">
        <color rgb="FFC5D8E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7" fillId="3" borderId="0" xfId="0" applyNumberFormat="1" applyFont="1" applyFill="1" applyAlignment="1">
      <alignment horizontal="left" vertical="center" wrapText="1"/>
    </xf>
    <xf numFmtId="0" fontId="7" fillId="5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1A1A"/>
      <rgbColor rgb="FF1A5C35"/>
      <rgbColor rgb="FF000080"/>
      <rgbColor rgb="FF7A5C00"/>
      <rgbColor rgb="FF800080"/>
      <rgbColor rgb="FF008080"/>
      <rgbColor rgb="FFC0C0C0"/>
      <rgbColor rgb="FF808080"/>
      <rgbColor rgb="FF9999FF"/>
      <rgbColor rgb="FF993366"/>
      <rgbColor rgb="FFFFF8E1"/>
      <rgbColor rgb="FFE6F4EC"/>
      <rgbColor rgb="FF660066"/>
      <rgbColor rgb="FFFF8080"/>
      <rgbColor rgb="FF2E6DA4"/>
      <rgbColor rgb="FFC5D8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F2F5F8"/>
      <rgbColor rgb="FFFA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A9BB5"/>
      <rgbColor rgb="FF1B3A5C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I21"/>
  <sheetViews>
    <sheetView tabSelected="1" zoomScaleNormal="100" workbookViewId="0">
      <pane ySplit="2" topLeftCell="A3" activePane="bottomLeft" state="frozen"/>
      <selection pane="bottomLeft" sqref="A1:I1"/>
    </sheetView>
  </sheetViews>
  <sheetFormatPr defaultColWidth="8.6640625" defaultRowHeight="14.4" x14ac:dyDescent="0.3"/>
  <cols>
    <col min="1" max="1" width="15.33203125" style="23" bestFit="1" customWidth="1"/>
    <col min="2" max="2" width="44.5546875" style="23" bestFit="1" customWidth="1"/>
    <col min="3" max="3" width="9.5546875" style="23" bestFit="1" customWidth="1"/>
    <col min="4" max="4" width="11.5546875" style="23" bestFit="1" customWidth="1"/>
    <col min="5" max="5" width="9.21875" style="23" bestFit="1" customWidth="1"/>
    <col min="6" max="6" width="18" style="23" customWidth="1"/>
    <col min="7" max="7" width="9.88671875" style="23" bestFit="1" customWidth="1"/>
    <col min="8" max="8" width="18" style="23" customWidth="1"/>
    <col min="9" max="9" width="8" style="23" bestFit="1" customWidth="1"/>
    <col min="10" max="16384" width="8.6640625" style="23"/>
  </cols>
  <sheetData>
    <row r="1" spans="1:9" ht="17.399999999999999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 x14ac:dyDescent="0.3">
      <c r="A2" s="24" t="s">
        <v>1</v>
      </c>
      <c r="B2" s="24"/>
      <c r="C2" s="24"/>
      <c r="D2" s="24"/>
      <c r="E2" s="24"/>
      <c r="F2" s="24"/>
      <c r="G2" s="24"/>
      <c r="H2" s="24"/>
      <c r="I2" s="24"/>
    </row>
    <row r="4" spans="1:9" x14ac:dyDescent="0.3">
      <c r="A4" s="25" t="s">
        <v>2</v>
      </c>
      <c r="C4" s="25" t="s">
        <v>3</v>
      </c>
      <c r="E4" s="25" t="s">
        <v>4</v>
      </c>
      <c r="G4" s="25" t="s">
        <v>5</v>
      </c>
      <c r="I4" s="25" t="s">
        <v>6</v>
      </c>
    </row>
    <row r="5" spans="1:9" ht="22.8" x14ac:dyDescent="0.3">
      <c r="A5" s="26">
        <f>COUNTA('Assumptions Register'!A2:A100)-1</f>
        <v>10</v>
      </c>
      <c r="C5" s="26">
        <f>COUNTA('Risk Register'!A2:A100)-1</f>
        <v>10</v>
      </c>
      <c r="E5" s="26">
        <f>COUNTIF('Risk Register'!I2:I100,"High")</f>
        <v>3</v>
      </c>
      <c r="G5" s="26">
        <f>COUNTIF('Risk Register'!J2:J100,"Open")</f>
        <v>8</v>
      </c>
      <c r="I5" s="26">
        <f>COUNTIF('Assumptions Register'!H2:H100,"Validated")</f>
        <v>0</v>
      </c>
    </row>
    <row r="7" spans="1:9" x14ac:dyDescent="0.3">
      <c r="A7" s="27" t="s">
        <v>7</v>
      </c>
      <c r="B7" s="27" t="s">
        <v>8</v>
      </c>
      <c r="C7" s="27" t="s">
        <v>9</v>
      </c>
      <c r="D7" s="27" t="s">
        <v>10</v>
      </c>
    </row>
    <row r="8" spans="1:9" x14ac:dyDescent="0.3">
      <c r="A8" s="28">
        <v>1</v>
      </c>
      <c r="B8" s="28" t="s">
        <v>11</v>
      </c>
      <c r="C8" s="28" t="s">
        <v>12</v>
      </c>
      <c r="D8" s="28" t="s">
        <v>13</v>
      </c>
    </row>
    <row r="9" spans="1:9" x14ac:dyDescent="0.3">
      <c r="A9" s="29">
        <v>2</v>
      </c>
      <c r="B9" s="29" t="s">
        <v>14</v>
      </c>
      <c r="C9" s="29" t="s">
        <v>12</v>
      </c>
      <c r="D9" s="29" t="s">
        <v>13</v>
      </c>
    </row>
    <row r="10" spans="1:9" x14ac:dyDescent="0.3">
      <c r="A10" s="28">
        <v>3</v>
      </c>
      <c r="B10" s="28" t="s">
        <v>15</v>
      </c>
      <c r="C10" s="28" t="s">
        <v>12</v>
      </c>
      <c r="D10" s="28" t="s">
        <v>16</v>
      </c>
    </row>
    <row r="11" spans="1:9" x14ac:dyDescent="0.3">
      <c r="A11" s="29">
        <v>4</v>
      </c>
      <c r="B11" s="29" t="s">
        <v>17</v>
      </c>
      <c r="C11" s="29" t="s">
        <v>12</v>
      </c>
      <c r="D11" s="29" t="s">
        <v>18</v>
      </c>
    </row>
    <row r="12" spans="1:9" x14ac:dyDescent="0.3">
      <c r="A12" s="28">
        <v>5</v>
      </c>
      <c r="B12" s="28" t="s">
        <v>19</v>
      </c>
      <c r="C12" s="28" t="s">
        <v>12</v>
      </c>
      <c r="D12" s="28" t="s">
        <v>20</v>
      </c>
    </row>
    <row r="15" spans="1:9" x14ac:dyDescent="0.3">
      <c r="A15" s="30" t="s">
        <v>21</v>
      </c>
      <c r="B15" s="30"/>
      <c r="C15" s="30"/>
      <c r="D15" s="30"/>
    </row>
    <row r="16" spans="1:9" x14ac:dyDescent="0.3">
      <c r="A16" s="31" t="s">
        <v>22</v>
      </c>
      <c r="B16" s="31"/>
      <c r="C16" s="31"/>
      <c r="D16" s="31"/>
    </row>
    <row r="17" spans="1:4" x14ac:dyDescent="0.3">
      <c r="A17" s="32" t="s">
        <v>23</v>
      </c>
      <c r="B17" s="32"/>
      <c r="C17" s="32"/>
      <c r="D17" s="32"/>
    </row>
    <row r="18" spans="1:4" x14ac:dyDescent="0.3">
      <c r="A18" s="31" t="s">
        <v>24</v>
      </c>
      <c r="B18" s="31"/>
      <c r="C18" s="31"/>
      <c r="D18" s="31"/>
    </row>
    <row r="19" spans="1:4" x14ac:dyDescent="0.3">
      <c r="A19" s="32" t="s">
        <v>25</v>
      </c>
      <c r="B19" s="32"/>
      <c r="C19" s="32"/>
      <c r="D19" s="32"/>
    </row>
    <row r="20" spans="1:4" x14ac:dyDescent="0.3">
      <c r="A20" s="31" t="s">
        <v>26</v>
      </c>
      <c r="B20" s="31"/>
      <c r="C20" s="31"/>
      <c r="D20" s="31"/>
    </row>
    <row r="21" spans="1:4" x14ac:dyDescent="0.3">
      <c r="A21" s="32" t="s">
        <v>27</v>
      </c>
      <c r="B21" s="32"/>
      <c r="C21" s="32"/>
      <c r="D21" s="32"/>
    </row>
  </sheetData>
  <mergeCells count="9">
    <mergeCell ref="A18:D18"/>
    <mergeCell ref="A19:D19"/>
    <mergeCell ref="A20:D20"/>
    <mergeCell ref="A21:D21"/>
    <mergeCell ref="A1:I1"/>
    <mergeCell ref="A2:I2"/>
    <mergeCell ref="A15:D15"/>
    <mergeCell ref="A16:D16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J12"/>
  <sheetViews>
    <sheetView zoomScaleNormal="100" workbookViewId="0">
      <pane ySplit="2" topLeftCell="A3" activePane="bottomLeft" state="frozen"/>
      <selection pane="bottomLeft" sqref="A1:J1"/>
    </sheetView>
  </sheetViews>
  <sheetFormatPr defaultColWidth="8.6640625" defaultRowHeight="14.4" x14ac:dyDescent="0.3"/>
  <cols>
    <col min="1" max="1" width="3.5546875" bestFit="1" customWidth="1"/>
    <col min="2" max="2" width="15.44140625" bestFit="1" customWidth="1"/>
    <col min="3" max="3" width="37.6640625" bestFit="1" customWidth="1"/>
    <col min="4" max="4" width="29.88671875" bestFit="1" customWidth="1"/>
    <col min="5" max="5" width="29.77734375" bestFit="1" customWidth="1"/>
    <col min="6" max="6" width="21.21875" bestFit="1" customWidth="1"/>
    <col min="7" max="7" width="10.5546875" bestFit="1" customWidth="1"/>
    <col min="8" max="8" width="12.21875" bestFit="1" customWidth="1"/>
    <col min="9" max="9" width="11.77734375" bestFit="1" customWidth="1"/>
    <col min="10" max="10" width="31.44140625" bestFit="1" customWidth="1"/>
  </cols>
  <sheetData>
    <row r="1" spans="1:10" ht="15.6" x14ac:dyDescent="0.3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</row>
    <row r="3" spans="1:10" ht="22.8" x14ac:dyDescent="0.3">
      <c r="A3" s="6" t="s">
        <v>39</v>
      </c>
      <c r="B3" s="6" t="s">
        <v>40</v>
      </c>
      <c r="C3" s="6" t="s">
        <v>41</v>
      </c>
      <c r="D3" s="6" t="s">
        <v>42</v>
      </c>
      <c r="E3" s="6" t="s">
        <v>43</v>
      </c>
      <c r="F3" s="6" t="s">
        <v>44</v>
      </c>
      <c r="G3" s="6" t="s">
        <v>45</v>
      </c>
      <c r="H3" s="7" t="s">
        <v>46</v>
      </c>
      <c r="I3" s="6" t="s">
        <v>13</v>
      </c>
      <c r="J3" s="6" t="s">
        <v>47</v>
      </c>
    </row>
    <row r="4" spans="1:10" ht="22.8" x14ac:dyDescent="0.3">
      <c r="A4" s="8" t="s">
        <v>48</v>
      </c>
      <c r="B4" s="8" t="s">
        <v>49</v>
      </c>
      <c r="C4" s="8" t="s">
        <v>50</v>
      </c>
      <c r="D4" s="8" t="s">
        <v>51</v>
      </c>
      <c r="E4" s="8" t="s">
        <v>52</v>
      </c>
      <c r="F4" s="8" t="s">
        <v>53</v>
      </c>
      <c r="G4" s="8" t="s">
        <v>45</v>
      </c>
      <c r="H4" s="7" t="s">
        <v>46</v>
      </c>
      <c r="I4" s="8" t="s">
        <v>13</v>
      </c>
      <c r="J4" s="8" t="s">
        <v>54</v>
      </c>
    </row>
    <row r="5" spans="1:10" ht="22.8" x14ac:dyDescent="0.3">
      <c r="A5" s="6" t="s">
        <v>55</v>
      </c>
      <c r="B5" s="6" t="s">
        <v>56</v>
      </c>
      <c r="C5" s="6" t="s">
        <v>57</v>
      </c>
      <c r="D5" s="6" t="s">
        <v>58</v>
      </c>
      <c r="E5" s="6" t="s">
        <v>59</v>
      </c>
      <c r="F5" s="6" t="s">
        <v>60</v>
      </c>
      <c r="G5" s="6" t="s">
        <v>45</v>
      </c>
      <c r="H5" s="7" t="s">
        <v>46</v>
      </c>
      <c r="I5" s="6" t="s">
        <v>16</v>
      </c>
      <c r="J5" s="6" t="s">
        <v>61</v>
      </c>
    </row>
    <row r="6" spans="1:10" ht="22.8" x14ac:dyDescent="0.3">
      <c r="A6" s="8" t="s">
        <v>62</v>
      </c>
      <c r="B6" s="8" t="s">
        <v>63</v>
      </c>
      <c r="C6" s="8" t="s">
        <v>64</v>
      </c>
      <c r="D6" s="8" t="s">
        <v>65</v>
      </c>
      <c r="E6" s="8" t="s">
        <v>66</v>
      </c>
      <c r="F6" s="8" t="s">
        <v>44</v>
      </c>
      <c r="G6" s="8" t="s">
        <v>45</v>
      </c>
      <c r="H6" s="7" t="s">
        <v>46</v>
      </c>
      <c r="I6" s="8" t="s">
        <v>13</v>
      </c>
      <c r="J6" s="8" t="s">
        <v>67</v>
      </c>
    </row>
    <row r="7" spans="1:10" ht="22.8" x14ac:dyDescent="0.3">
      <c r="A7" s="6" t="s">
        <v>68</v>
      </c>
      <c r="B7" s="6" t="s">
        <v>69</v>
      </c>
      <c r="C7" s="6" t="s">
        <v>70</v>
      </c>
      <c r="D7" s="6" t="s">
        <v>71</v>
      </c>
      <c r="E7" s="6" t="s">
        <v>72</v>
      </c>
      <c r="F7" s="6" t="s">
        <v>44</v>
      </c>
      <c r="G7" s="6" t="s">
        <v>45</v>
      </c>
      <c r="H7" s="7" t="s">
        <v>46</v>
      </c>
      <c r="I7" s="6" t="s">
        <v>13</v>
      </c>
      <c r="J7" s="6" t="s">
        <v>73</v>
      </c>
    </row>
    <row r="8" spans="1:10" ht="34.200000000000003" x14ac:dyDescent="0.3">
      <c r="A8" s="8" t="s">
        <v>74</v>
      </c>
      <c r="B8" s="8" t="s">
        <v>75</v>
      </c>
      <c r="C8" s="8" t="s">
        <v>76</v>
      </c>
      <c r="D8" s="8" t="s">
        <v>77</v>
      </c>
      <c r="E8" s="8" t="s">
        <v>78</v>
      </c>
      <c r="F8" s="8" t="s">
        <v>79</v>
      </c>
      <c r="G8" s="8" t="s">
        <v>45</v>
      </c>
      <c r="H8" s="7" t="s">
        <v>46</v>
      </c>
      <c r="I8" s="8" t="s">
        <v>16</v>
      </c>
      <c r="J8" s="8" t="s">
        <v>80</v>
      </c>
    </row>
    <row r="9" spans="1:10" ht="22.8" x14ac:dyDescent="0.3">
      <c r="A9" s="6" t="s">
        <v>81</v>
      </c>
      <c r="B9" s="6" t="s">
        <v>82</v>
      </c>
      <c r="C9" s="6" t="s">
        <v>83</v>
      </c>
      <c r="D9" s="6" t="s">
        <v>84</v>
      </c>
      <c r="E9" s="6" t="s">
        <v>85</v>
      </c>
      <c r="F9" s="6" t="s">
        <v>86</v>
      </c>
      <c r="G9" s="6" t="s">
        <v>45</v>
      </c>
      <c r="H9" s="9" t="s">
        <v>87</v>
      </c>
      <c r="I9" s="6" t="s">
        <v>16</v>
      </c>
      <c r="J9" s="6" t="s">
        <v>88</v>
      </c>
    </row>
    <row r="10" spans="1:10" ht="22.8" x14ac:dyDescent="0.3">
      <c r="A10" s="8" t="s">
        <v>89</v>
      </c>
      <c r="B10" s="8" t="s">
        <v>90</v>
      </c>
      <c r="C10" s="8" t="s">
        <v>91</v>
      </c>
      <c r="D10" s="8" t="s">
        <v>92</v>
      </c>
      <c r="E10" s="8" t="s">
        <v>93</v>
      </c>
      <c r="F10" s="8" t="s">
        <v>44</v>
      </c>
      <c r="G10" s="8" t="s">
        <v>45</v>
      </c>
      <c r="H10" s="7" t="s">
        <v>46</v>
      </c>
      <c r="I10" s="8" t="s">
        <v>13</v>
      </c>
      <c r="J10" s="8" t="s">
        <v>94</v>
      </c>
    </row>
    <row r="11" spans="1:10" ht="22.8" x14ac:dyDescent="0.3">
      <c r="A11" s="6" t="s">
        <v>95</v>
      </c>
      <c r="B11" s="6" t="s">
        <v>56</v>
      </c>
      <c r="C11" s="6" t="s">
        <v>96</v>
      </c>
      <c r="D11" s="6" t="s">
        <v>97</v>
      </c>
      <c r="E11" s="6" t="s">
        <v>98</v>
      </c>
      <c r="F11" s="6" t="s">
        <v>60</v>
      </c>
      <c r="G11" s="6" t="s">
        <v>45</v>
      </c>
      <c r="H11" s="7" t="s">
        <v>46</v>
      </c>
      <c r="I11" s="6" t="s">
        <v>16</v>
      </c>
      <c r="J11" s="6" t="s">
        <v>99</v>
      </c>
    </row>
    <row r="12" spans="1:10" ht="22.8" x14ac:dyDescent="0.3">
      <c r="A12" s="8" t="s">
        <v>100</v>
      </c>
      <c r="B12" s="8" t="s">
        <v>101</v>
      </c>
      <c r="C12" s="8" t="s">
        <v>102</v>
      </c>
      <c r="D12" s="8" t="s">
        <v>103</v>
      </c>
      <c r="E12" s="8" t="s">
        <v>104</v>
      </c>
      <c r="F12" s="8" t="s">
        <v>86</v>
      </c>
      <c r="G12" s="8" t="s">
        <v>45</v>
      </c>
      <c r="H12" s="7" t="s">
        <v>105</v>
      </c>
      <c r="I12" s="8" t="s">
        <v>106</v>
      </c>
      <c r="J12" s="8" t="s">
        <v>107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C1A1A"/>
  </sheetPr>
  <dimension ref="A1:N12"/>
  <sheetViews>
    <sheetView zoomScale="90" zoomScaleNormal="90" workbookViewId="0">
      <pane ySplit="2" topLeftCell="A3" activePane="bottomLeft" state="frozen"/>
      <selection pane="bottomLeft" sqref="A1:N1"/>
    </sheetView>
  </sheetViews>
  <sheetFormatPr defaultColWidth="8.6640625" defaultRowHeight="14.4" x14ac:dyDescent="0.3"/>
  <cols>
    <col min="1" max="1" width="3.77734375" bestFit="1" customWidth="1"/>
    <col min="2" max="2" width="15.44140625" bestFit="1" customWidth="1"/>
    <col min="3" max="3" width="31.21875" bestFit="1" customWidth="1"/>
    <col min="4" max="4" width="26.33203125" bestFit="1" customWidth="1"/>
    <col min="5" max="5" width="26" customWidth="1"/>
    <col min="6" max="6" width="7.77734375" bestFit="1" customWidth="1"/>
    <col min="7" max="7" width="6.77734375" bestFit="1" customWidth="1"/>
    <col min="8" max="8" width="6.109375" bestFit="1" customWidth="1"/>
    <col min="9" max="9" width="7.77734375" bestFit="1" customWidth="1"/>
    <col min="10" max="10" width="10.33203125" bestFit="1" customWidth="1"/>
    <col min="11" max="11" width="32.21875" bestFit="1" customWidth="1"/>
    <col min="12" max="12" width="10.5546875" bestFit="1" customWidth="1"/>
    <col min="13" max="13" width="11.77734375" bestFit="1" customWidth="1"/>
    <col min="14" max="14" width="23.6640625" bestFit="1" customWidth="1"/>
  </cols>
  <sheetData>
    <row r="1" spans="1:14" ht="15.6" x14ac:dyDescent="0.3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6.4" x14ac:dyDescent="0.3">
      <c r="A2" s="3" t="s">
        <v>29</v>
      </c>
      <c r="B2" s="3" t="s">
        <v>30</v>
      </c>
      <c r="C2" s="3" t="s">
        <v>109</v>
      </c>
      <c r="D2" s="3" t="s">
        <v>110</v>
      </c>
      <c r="E2" s="3" t="s">
        <v>111</v>
      </c>
      <c r="F2" s="3" t="s">
        <v>112</v>
      </c>
      <c r="G2" s="3" t="s">
        <v>113</v>
      </c>
      <c r="H2" s="3" t="s">
        <v>114</v>
      </c>
      <c r="I2" s="3" t="s">
        <v>115</v>
      </c>
      <c r="J2" s="3" t="s">
        <v>36</v>
      </c>
      <c r="K2" s="3" t="s">
        <v>116</v>
      </c>
      <c r="L2" s="3" t="s">
        <v>35</v>
      </c>
      <c r="M2" s="3" t="s">
        <v>37</v>
      </c>
      <c r="N2" s="3" t="s">
        <v>117</v>
      </c>
    </row>
    <row r="3" spans="1:14" ht="34.200000000000003" x14ac:dyDescent="0.3">
      <c r="A3" s="6" t="s">
        <v>118</v>
      </c>
      <c r="B3" s="6" t="s">
        <v>56</v>
      </c>
      <c r="C3" s="6" t="s">
        <v>119</v>
      </c>
      <c r="D3" s="6" t="s">
        <v>120</v>
      </c>
      <c r="E3" s="6" t="s">
        <v>121</v>
      </c>
      <c r="F3" s="10">
        <v>4</v>
      </c>
      <c r="G3" s="10">
        <v>4</v>
      </c>
      <c r="H3" s="10">
        <f t="shared" ref="H3:H12" si="0">F3*G3</f>
        <v>16</v>
      </c>
      <c r="I3" s="11" t="s">
        <v>122</v>
      </c>
      <c r="J3" s="7" t="s">
        <v>123</v>
      </c>
      <c r="K3" s="6" t="s">
        <v>124</v>
      </c>
      <c r="L3" s="6" t="s">
        <v>45</v>
      </c>
      <c r="M3" s="6" t="s">
        <v>16</v>
      </c>
      <c r="N3" s="6" t="s">
        <v>125</v>
      </c>
    </row>
    <row r="4" spans="1:14" ht="22.8" x14ac:dyDescent="0.3">
      <c r="A4" s="8" t="s">
        <v>126</v>
      </c>
      <c r="B4" s="8" t="s">
        <v>40</v>
      </c>
      <c r="C4" s="8" t="s">
        <v>127</v>
      </c>
      <c r="D4" s="8" t="s">
        <v>128</v>
      </c>
      <c r="E4" s="8" t="s">
        <v>129</v>
      </c>
      <c r="F4" s="12">
        <v>4</v>
      </c>
      <c r="G4" s="12">
        <v>3</v>
      </c>
      <c r="H4" s="12">
        <f t="shared" si="0"/>
        <v>12</v>
      </c>
      <c r="I4" s="7" t="s">
        <v>130</v>
      </c>
      <c r="J4" s="7" t="s">
        <v>123</v>
      </c>
      <c r="K4" s="8" t="s">
        <v>131</v>
      </c>
      <c r="L4" s="8" t="s">
        <v>45</v>
      </c>
      <c r="M4" s="8" t="s">
        <v>13</v>
      </c>
      <c r="N4" s="8" t="s">
        <v>132</v>
      </c>
    </row>
    <row r="5" spans="1:14" ht="22.8" x14ac:dyDescent="0.3">
      <c r="A5" s="6" t="s">
        <v>133</v>
      </c>
      <c r="B5" s="6" t="s">
        <v>49</v>
      </c>
      <c r="C5" s="6" t="s">
        <v>134</v>
      </c>
      <c r="D5" s="6" t="s">
        <v>135</v>
      </c>
      <c r="E5" s="6" t="s">
        <v>136</v>
      </c>
      <c r="F5" s="10">
        <v>4</v>
      </c>
      <c r="G5" s="10">
        <v>4</v>
      </c>
      <c r="H5" s="10">
        <f t="shared" si="0"/>
        <v>16</v>
      </c>
      <c r="I5" s="11" t="s">
        <v>122</v>
      </c>
      <c r="J5" s="7" t="s">
        <v>123</v>
      </c>
      <c r="K5" s="6" t="s">
        <v>137</v>
      </c>
      <c r="L5" s="6" t="s">
        <v>45</v>
      </c>
      <c r="M5" s="6" t="s">
        <v>16</v>
      </c>
      <c r="N5" s="6" t="s">
        <v>138</v>
      </c>
    </row>
    <row r="6" spans="1:14" ht="34.200000000000003" x14ac:dyDescent="0.3">
      <c r="A6" s="8" t="s">
        <v>139</v>
      </c>
      <c r="B6" s="8" t="s">
        <v>63</v>
      </c>
      <c r="C6" s="8" t="s">
        <v>140</v>
      </c>
      <c r="D6" s="8" t="s">
        <v>141</v>
      </c>
      <c r="E6" s="8" t="s">
        <v>142</v>
      </c>
      <c r="F6" s="12">
        <v>3</v>
      </c>
      <c r="G6" s="12">
        <v>4</v>
      </c>
      <c r="H6" s="12">
        <f t="shared" si="0"/>
        <v>12</v>
      </c>
      <c r="I6" s="7" t="s">
        <v>130</v>
      </c>
      <c r="J6" s="7" t="s">
        <v>123</v>
      </c>
      <c r="K6" s="8" t="s">
        <v>143</v>
      </c>
      <c r="L6" s="8" t="s">
        <v>45</v>
      </c>
      <c r="M6" s="8" t="s">
        <v>13</v>
      </c>
      <c r="N6" s="8" t="s">
        <v>144</v>
      </c>
    </row>
    <row r="7" spans="1:14" ht="34.200000000000003" x14ac:dyDescent="0.3">
      <c r="A7" s="6" t="s">
        <v>145</v>
      </c>
      <c r="B7" s="6" t="s">
        <v>69</v>
      </c>
      <c r="C7" s="6" t="s">
        <v>146</v>
      </c>
      <c r="D7" s="6" t="s">
        <v>147</v>
      </c>
      <c r="E7" s="6" t="s">
        <v>148</v>
      </c>
      <c r="F7" s="10">
        <v>3</v>
      </c>
      <c r="G7" s="10">
        <v>5</v>
      </c>
      <c r="H7" s="10">
        <f t="shared" si="0"/>
        <v>15</v>
      </c>
      <c r="I7" s="11" t="s">
        <v>122</v>
      </c>
      <c r="J7" s="7" t="s">
        <v>123</v>
      </c>
      <c r="K7" s="6" t="s">
        <v>149</v>
      </c>
      <c r="L7" s="6" t="s">
        <v>45</v>
      </c>
      <c r="M7" s="6" t="s">
        <v>18</v>
      </c>
      <c r="N7" s="6" t="s">
        <v>150</v>
      </c>
    </row>
    <row r="8" spans="1:14" ht="22.8" x14ac:dyDescent="0.3">
      <c r="A8" s="8" t="s">
        <v>151</v>
      </c>
      <c r="B8" s="8" t="s">
        <v>90</v>
      </c>
      <c r="C8" s="8" t="s">
        <v>152</v>
      </c>
      <c r="D8" s="8" t="s">
        <v>153</v>
      </c>
      <c r="E8" s="8" t="s">
        <v>154</v>
      </c>
      <c r="F8" s="12">
        <v>3</v>
      </c>
      <c r="G8" s="12">
        <v>4</v>
      </c>
      <c r="H8" s="12">
        <f t="shared" si="0"/>
        <v>12</v>
      </c>
      <c r="I8" s="7" t="s">
        <v>130</v>
      </c>
      <c r="J8" s="7" t="s">
        <v>123</v>
      </c>
      <c r="K8" s="8" t="s">
        <v>155</v>
      </c>
      <c r="L8" s="8" t="s">
        <v>45</v>
      </c>
      <c r="M8" s="8" t="s">
        <v>18</v>
      </c>
      <c r="N8" s="8" t="s">
        <v>156</v>
      </c>
    </row>
    <row r="9" spans="1:14" ht="22.8" x14ac:dyDescent="0.3">
      <c r="A9" s="6" t="s">
        <v>157</v>
      </c>
      <c r="B9" s="6" t="s">
        <v>101</v>
      </c>
      <c r="C9" s="6" t="s">
        <v>158</v>
      </c>
      <c r="D9" s="6" t="s">
        <v>159</v>
      </c>
      <c r="E9" s="6" t="s">
        <v>160</v>
      </c>
      <c r="F9" s="10">
        <v>3</v>
      </c>
      <c r="G9" s="10">
        <v>4</v>
      </c>
      <c r="H9" s="10">
        <f t="shared" si="0"/>
        <v>12</v>
      </c>
      <c r="I9" s="7" t="s">
        <v>130</v>
      </c>
      <c r="J9" s="7" t="s">
        <v>123</v>
      </c>
      <c r="K9" s="6" t="s">
        <v>161</v>
      </c>
      <c r="L9" s="6" t="s">
        <v>45</v>
      </c>
      <c r="M9" s="6" t="s">
        <v>106</v>
      </c>
      <c r="N9" s="6" t="s">
        <v>162</v>
      </c>
    </row>
    <row r="10" spans="1:14" ht="22.8" x14ac:dyDescent="0.3">
      <c r="A10" s="8" t="s">
        <v>163</v>
      </c>
      <c r="B10" s="8" t="s">
        <v>75</v>
      </c>
      <c r="C10" s="8" t="s">
        <v>164</v>
      </c>
      <c r="D10" s="8" t="s">
        <v>165</v>
      </c>
      <c r="E10" s="8" t="s">
        <v>166</v>
      </c>
      <c r="F10" s="12">
        <v>3</v>
      </c>
      <c r="G10" s="12">
        <v>3</v>
      </c>
      <c r="H10" s="12">
        <f t="shared" si="0"/>
        <v>9</v>
      </c>
      <c r="I10" s="7" t="s">
        <v>130</v>
      </c>
      <c r="J10" s="9" t="s">
        <v>167</v>
      </c>
      <c r="K10" s="8" t="s">
        <v>168</v>
      </c>
      <c r="L10" s="8" t="s">
        <v>45</v>
      </c>
      <c r="M10" s="8" t="s">
        <v>16</v>
      </c>
      <c r="N10" s="8" t="s">
        <v>169</v>
      </c>
    </row>
    <row r="11" spans="1:14" ht="22.8" x14ac:dyDescent="0.3">
      <c r="A11" s="6" t="s">
        <v>170</v>
      </c>
      <c r="B11" s="6" t="s">
        <v>82</v>
      </c>
      <c r="C11" s="6" t="s">
        <v>171</v>
      </c>
      <c r="D11" s="6" t="s">
        <v>172</v>
      </c>
      <c r="E11" s="6" t="s">
        <v>173</v>
      </c>
      <c r="F11" s="10">
        <v>3</v>
      </c>
      <c r="G11" s="10">
        <v>3</v>
      </c>
      <c r="H11" s="10">
        <f t="shared" si="0"/>
        <v>9</v>
      </c>
      <c r="I11" s="7" t="s">
        <v>130</v>
      </c>
      <c r="J11" s="9" t="s">
        <v>167</v>
      </c>
      <c r="K11" s="6" t="s">
        <v>174</v>
      </c>
      <c r="L11" s="6" t="s">
        <v>45</v>
      </c>
      <c r="M11" s="6" t="s">
        <v>13</v>
      </c>
      <c r="N11" s="6" t="s">
        <v>175</v>
      </c>
    </row>
    <row r="12" spans="1:14" ht="22.8" x14ac:dyDescent="0.3">
      <c r="A12" s="8" t="s">
        <v>176</v>
      </c>
      <c r="B12" s="8" t="s">
        <v>101</v>
      </c>
      <c r="C12" s="8" t="s">
        <v>177</v>
      </c>
      <c r="D12" s="8" t="s">
        <v>178</v>
      </c>
      <c r="E12" s="8" t="s">
        <v>179</v>
      </c>
      <c r="F12" s="12">
        <v>2</v>
      </c>
      <c r="G12" s="12">
        <v>4</v>
      </c>
      <c r="H12" s="12">
        <f t="shared" si="0"/>
        <v>8</v>
      </c>
      <c r="I12" s="7" t="s">
        <v>130</v>
      </c>
      <c r="J12" s="7" t="s">
        <v>123</v>
      </c>
      <c r="K12" s="8" t="s">
        <v>180</v>
      </c>
      <c r="L12" s="8" t="s">
        <v>45</v>
      </c>
      <c r="M12" s="8" t="s">
        <v>106</v>
      </c>
      <c r="N12" s="8" t="s">
        <v>181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A5C00"/>
  </sheetPr>
  <dimension ref="A1:F12"/>
  <sheetViews>
    <sheetView zoomScaleNormal="100" workbookViewId="0">
      <selection sqref="A1:F1"/>
    </sheetView>
  </sheetViews>
  <sheetFormatPr defaultColWidth="8.6640625" defaultRowHeight="14.4" x14ac:dyDescent="0.3"/>
  <cols>
    <col min="1" max="1" width="15.5546875" bestFit="1" customWidth="1"/>
    <col min="2" max="6" width="10" customWidth="1"/>
  </cols>
  <sheetData>
    <row r="1" spans="1:6" ht="15.6" x14ac:dyDescent="0.3">
      <c r="A1" s="1" t="s">
        <v>182</v>
      </c>
      <c r="B1" s="1"/>
      <c r="C1" s="1"/>
      <c r="D1" s="1"/>
      <c r="E1" s="1"/>
      <c r="F1" s="1"/>
    </row>
    <row r="2" spans="1:6" x14ac:dyDescent="0.3">
      <c r="A2" s="2" t="s">
        <v>183</v>
      </c>
      <c r="B2" s="13">
        <v>1</v>
      </c>
      <c r="C2" s="13">
        <v>2</v>
      </c>
      <c r="D2" s="13">
        <v>3</v>
      </c>
      <c r="E2" s="13">
        <v>4</v>
      </c>
      <c r="F2" s="13">
        <v>5</v>
      </c>
    </row>
    <row r="3" spans="1:6" x14ac:dyDescent="0.3">
      <c r="A3" s="13">
        <v>1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</row>
    <row r="4" spans="1:6" x14ac:dyDescent="0.3">
      <c r="A4" s="13">
        <v>2</v>
      </c>
      <c r="B4" s="14">
        <v>2</v>
      </c>
      <c r="C4" s="14">
        <v>4</v>
      </c>
      <c r="D4" s="14">
        <v>6</v>
      </c>
      <c r="E4" s="15">
        <v>8</v>
      </c>
      <c r="F4" s="15">
        <v>10</v>
      </c>
    </row>
    <row r="5" spans="1:6" x14ac:dyDescent="0.3">
      <c r="A5" s="13">
        <v>3</v>
      </c>
      <c r="B5" s="14">
        <v>3</v>
      </c>
      <c r="C5" s="14">
        <v>6</v>
      </c>
      <c r="D5" s="15">
        <v>9</v>
      </c>
      <c r="E5" s="15">
        <v>12</v>
      </c>
      <c r="F5" s="16">
        <v>15</v>
      </c>
    </row>
    <row r="6" spans="1:6" x14ac:dyDescent="0.3">
      <c r="A6" s="13">
        <v>4</v>
      </c>
      <c r="B6" s="14">
        <v>4</v>
      </c>
      <c r="C6" s="15">
        <v>8</v>
      </c>
      <c r="D6" s="15">
        <v>12</v>
      </c>
      <c r="E6" s="16">
        <v>16</v>
      </c>
      <c r="F6" s="16">
        <v>20</v>
      </c>
    </row>
    <row r="7" spans="1:6" x14ac:dyDescent="0.3">
      <c r="A7" s="13">
        <v>5</v>
      </c>
      <c r="B7" s="14">
        <v>5</v>
      </c>
      <c r="C7" s="15">
        <v>10</v>
      </c>
      <c r="D7" s="16">
        <v>15</v>
      </c>
      <c r="E7" s="16">
        <v>20</v>
      </c>
      <c r="F7" s="16">
        <v>25</v>
      </c>
    </row>
    <row r="9" spans="1:6" x14ac:dyDescent="0.3">
      <c r="A9" s="33" t="s">
        <v>115</v>
      </c>
      <c r="B9" s="33"/>
      <c r="C9" s="33"/>
    </row>
    <row r="10" spans="1:6" ht="22.8" x14ac:dyDescent="0.3">
      <c r="A10" s="11" t="s">
        <v>122</v>
      </c>
      <c r="B10" s="17" t="s">
        <v>184</v>
      </c>
      <c r="C10" s="17" t="s">
        <v>185</v>
      </c>
    </row>
    <row r="11" spans="1:6" ht="22.8" x14ac:dyDescent="0.3">
      <c r="A11" s="7" t="s">
        <v>130</v>
      </c>
      <c r="B11" s="18" t="s">
        <v>186</v>
      </c>
      <c r="C11" s="18" t="s">
        <v>187</v>
      </c>
    </row>
    <row r="12" spans="1:6" x14ac:dyDescent="0.3">
      <c r="A12" s="19" t="s">
        <v>188</v>
      </c>
      <c r="B12" s="20" t="s">
        <v>189</v>
      </c>
      <c r="C12" s="20" t="s">
        <v>190</v>
      </c>
    </row>
  </sheetData>
  <mergeCells count="2">
    <mergeCell ref="A1:F1"/>
    <mergeCell ref="A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A9BB5"/>
  </sheetPr>
  <dimension ref="A1:F10"/>
  <sheetViews>
    <sheetView zoomScaleNormal="100" workbookViewId="0"/>
  </sheetViews>
  <sheetFormatPr defaultColWidth="8.6640625" defaultRowHeight="14.4" x14ac:dyDescent="0.3"/>
  <cols>
    <col min="1" max="1" width="11.21875" bestFit="1" customWidth="1"/>
    <col min="2" max="2" width="9.6640625" bestFit="1" customWidth="1"/>
    <col min="3" max="3" width="15.44140625" bestFit="1" customWidth="1"/>
    <col min="4" max="4" width="10.5546875" bestFit="1" customWidth="1"/>
    <col min="5" max="5" width="9" bestFit="1" customWidth="1"/>
    <col min="6" max="6" width="5.88671875" bestFit="1" customWidth="1"/>
  </cols>
  <sheetData>
    <row r="1" spans="1:6" x14ac:dyDescent="0.3">
      <c r="A1" s="21" t="s">
        <v>36</v>
      </c>
      <c r="B1" s="21" t="s">
        <v>191</v>
      </c>
      <c r="C1" s="21" t="s">
        <v>30</v>
      </c>
      <c r="D1" s="21" t="s">
        <v>35</v>
      </c>
      <c r="E1" s="21" t="s">
        <v>192</v>
      </c>
      <c r="F1" s="21" t="s">
        <v>111</v>
      </c>
    </row>
    <row r="2" spans="1:6" x14ac:dyDescent="0.3">
      <c r="A2" s="4" t="s">
        <v>105</v>
      </c>
      <c r="B2" s="4" t="s">
        <v>123</v>
      </c>
      <c r="C2" s="4" t="s">
        <v>40</v>
      </c>
      <c r="D2" s="4" t="s">
        <v>45</v>
      </c>
      <c r="E2" s="34">
        <v>1</v>
      </c>
      <c r="F2" s="34">
        <v>1</v>
      </c>
    </row>
    <row r="3" spans="1:6" x14ac:dyDescent="0.3">
      <c r="A3" s="5" t="s">
        <v>87</v>
      </c>
      <c r="B3" s="5" t="s">
        <v>167</v>
      </c>
      <c r="C3" s="5" t="s">
        <v>56</v>
      </c>
      <c r="D3" s="5" t="s">
        <v>193</v>
      </c>
      <c r="E3" s="35">
        <v>2</v>
      </c>
      <c r="F3" s="35">
        <v>2</v>
      </c>
    </row>
    <row r="4" spans="1:6" x14ac:dyDescent="0.3">
      <c r="A4" s="4" t="s">
        <v>6</v>
      </c>
      <c r="B4" s="4" t="s">
        <v>194</v>
      </c>
      <c r="C4" s="4" t="s">
        <v>101</v>
      </c>
      <c r="E4" s="34">
        <v>3</v>
      </c>
      <c r="F4" s="34">
        <v>3</v>
      </c>
    </row>
    <row r="5" spans="1:6" x14ac:dyDescent="0.3">
      <c r="A5" s="5" t="s">
        <v>195</v>
      </c>
      <c r="B5" s="5" t="s">
        <v>196</v>
      </c>
      <c r="C5" s="5" t="s">
        <v>90</v>
      </c>
      <c r="E5" s="35">
        <v>4</v>
      </c>
      <c r="F5" s="35">
        <v>4</v>
      </c>
    </row>
    <row r="6" spans="1:6" x14ac:dyDescent="0.3">
      <c r="A6" s="4" t="s">
        <v>46</v>
      </c>
      <c r="B6" s="4" t="s">
        <v>197</v>
      </c>
      <c r="C6" s="4" t="s">
        <v>69</v>
      </c>
      <c r="E6" s="34">
        <v>5</v>
      </c>
      <c r="F6" s="34">
        <v>5</v>
      </c>
    </row>
    <row r="7" spans="1:6" x14ac:dyDescent="0.3">
      <c r="C7" s="5" t="s">
        <v>75</v>
      </c>
    </row>
    <row r="8" spans="1:6" x14ac:dyDescent="0.3">
      <c r="C8" s="4" t="s">
        <v>82</v>
      </c>
    </row>
    <row r="9" spans="1:6" x14ac:dyDescent="0.3">
      <c r="C9" s="5" t="s">
        <v>49</v>
      </c>
    </row>
    <row r="10" spans="1:6" x14ac:dyDescent="0.3">
      <c r="C10" s="4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Assumptions Register</vt:lpstr>
      <vt:lpstr>Risk Register</vt:lpstr>
      <vt:lpstr>Risk Matrix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Matthew Reid</cp:lastModifiedBy>
  <cp:revision>0</cp:revision>
  <dcterms:created xsi:type="dcterms:W3CDTF">2026-06-09T18:04:28Z</dcterms:created>
  <dcterms:modified xsi:type="dcterms:W3CDTF">2026-06-09T18:11:57Z</dcterms:modified>
  <dc:language>en-US</dc:language>
</cp:coreProperties>
</file>