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tth\Documents\DrinkAwarenessApp\docs\"/>
    </mc:Choice>
  </mc:AlternateContent>
  <xr:revisionPtr revIDLastSave="0" documentId="8_{56BC4D9E-52F5-42F3-93E9-880E858C7A31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Dashboard" sheetId="1" r:id="rId1"/>
    <sheet name="Assumptions Register" sheetId="2" r:id="rId2"/>
    <sheet name="Risk Register" sheetId="3" r:id="rId3"/>
    <sheet name="Risk Matrix" sheetId="4" r:id="rId4"/>
    <sheet name="List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2" i="3" l="1"/>
  <c r="H11" i="3"/>
  <c r="H10" i="3"/>
  <c r="H9" i="3"/>
  <c r="H8" i="3"/>
  <c r="H7" i="3"/>
  <c r="H6" i="3"/>
  <c r="H5" i="3"/>
  <c r="H4" i="3"/>
  <c r="H3" i="3"/>
  <c r="I5" i="1"/>
  <c r="G5" i="1"/>
  <c r="E5" i="1"/>
  <c r="C5" i="1"/>
  <c r="A5" i="1"/>
</calcChain>
</file>

<file path=xl/sharedStrings.xml><?xml version="1.0" encoding="utf-8"?>
<sst xmlns="http://schemas.openxmlformats.org/spreadsheetml/2006/main" count="305" uniqueCount="198">
  <si>
    <t>Drink Awareness App — Assumptions &amp; Risks Dashboard</t>
  </si>
  <si>
    <t>Purpose: Track key project assumptions and risks. Update status as research, design and build work progresses.</t>
  </si>
  <si>
    <t>Total Assumptions</t>
  </si>
  <si>
    <t>Total Risks</t>
  </si>
  <si>
    <t>High Risks</t>
  </si>
  <si>
    <t>Open Risks</t>
  </si>
  <si>
    <t>Validated</t>
  </si>
  <si>
    <t>#</t>
  </si>
  <si>
    <t>Next Action</t>
  </si>
  <si>
    <t>Type</t>
  </si>
  <si>
    <t>Target Date</t>
  </si>
  <si>
    <t>Complete any remaining interviews and update open findings</t>
  </si>
  <si>
    <t>Due</t>
  </si>
  <si>
    <t>30 Jun 2026</t>
  </si>
  <si>
    <t>Confirm A10 (cross-platform technical approach) during setup</t>
  </si>
  <si>
    <t>12 Jul 2026</t>
  </si>
  <si>
    <t>Review high risks before core feature build begins</t>
  </si>
  <si>
    <t>13 Jul 2026</t>
  </si>
  <si>
    <t>Update risk scores after UX/UI design phase</t>
  </si>
  <si>
    <t>28 Jun 2026</t>
  </si>
  <si>
    <t>Re-check all assumptions before deployment prep</t>
  </si>
  <si>
    <t>21 Sep 2026</t>
  </si>
  <si>
    <t>How to use this workbook</t>
  </si>
  <si>
    <t xml:space="preserve">  1.  Assumptions updated 18 Jun 2026 based on survey findings from 8 participants.</t>
  </si>
  <si>
    <t xml:space="preserve">  2.  9 of 10 assumptions are now Validated. A10 (cross-platform) remains open until Phase 4.</t>
  </si>
  <si>
    <t xml:space="preserve">  3.  Risk Score is calculated automatically as Likelihood × Impact.</t>
  </si>
  <si>
    <t xml:space="preserve">  4.  High risks should be reviewed before each major project phase.</t>
  </si>
  <si>
    <t xml:space="preserve">  5.  Use the Evidence/Notes columns to record decisions from interviews and testing.</t>
  </si>
  <si>
    <t>Assumptions Register — Updated 18 June 2026</t>
  </si>
  <si>
    <t>ID</t>
  </si>
  <si>
    <t>Category</t>
  </si>
  <si>
    <t>Assumption</t>
  </si>
  <si>
    <t>Impact if Wrong</t>
  </si>
  <si>
    <t>Validation Method</t>
  </si>
  <si>
    <t>Related Deliverable</t>
  </si>
  <si>
    <t>Owner</t>
  </si>
  <si>
    <t>Status</t>
  </si>
  <si>
    <t>Review Date</t>
  </si>
  <si>
    <t>Evidence / Notes</t>
  </si>
  <si>
    <t>A01</t>
  </si>
  <si>
    <t>User Research</t>
  </si>
  <si>
    <t>Users are willing to manually log drinks during or after social outings.</t>
  </si>
  <si>
    <t>The core logging feature may not be used regularly.</t>
  </si>
  <si>
    <t>Survey: willingness to log question.</t>
  </si>
  <si>
    <t>03-interview-questions.docx</t>
  </si>
  <si>
    <t>Matthew Reid</t>
  </si>
  <si>
    <t>18 Jun 2026</t>
  </si>
  <si>
    <t>4/8 willing to log if quick; 2/8 maybe. Speed is the critical condition. Quick-select presets now a must-have (DAA-047).</t>
  </si>
  <si>
    <t>A02</t>
  </si>
  <si>
    <t>Venue/Menu Data</t>
  </si>
  <si>
    <t>Venue and menu information adds value to a drink awareness app.</t>
  </si>
  <si>
    <t>The app may be more complex than necessary if users only want tracking.</t>
  </si>
  <si>
    <t>Survey: feature usefulness grid.</t>
  </si>
  <si>
    <t>02-research-plan.docx</t>
  </si>
  <si>
    <t>Drink menus rated highest overall (4/8 Very useful). Venue discovery named as top differentiator by 2/8.</t>
  </si>
  <si>
    <t>A03</t>
  </si>
  <si>
    <t>Product Scope</t>
  </si>
  <si>
    <t>Sample venue and menu data is acceptable for an MVP demonstration.</t>
  </si>
  <si>
    <t>The MVP may feel unrealistic without live venue data.</t>
  </si>
  <si>
    <t>Survey: concept feedback section.</t>
  </si>
  <si>
    <t>04-mvp-scope.docx</t>
  </si>
  <si>
    <t>No participant raised concerns about sample data. Realism matters more than coverage.</t>
  </si>
  <si>
    <t>A04</t>
  </si>
  <si>
    <t>AI Insights</t>
  </si>
  <si>
    <t>AI-generated insights will make the app more valuable than a basic logbook.</t>
  </si>
  <si>
    <t>The AI feature may feel generic, unnecessary or untrusted.</t>
  </si>
  <si>
    <t>Survey: AI insights section.</t>
  </si>
  <si>
    <t>7/8 found insights useful or very useful. 2/8 selected AI as top download driver. Trust requires data basis explanation (DAA-049).</t>
  </si>
  <si>
    <t>A05</t>
  </si>
  <si>
    <t>Responsible Design</t>
  </si>
  <si>
    <t>Users prefer supportive, non-judgemental feedback about drinking awareness.</t>
  </si>
  <si>
    <t>Poor wording could make users feel judged or unsafe.</t>
  </si>
  <si>
    <t>Survey: tone and avoid questions.</t>
  </si>
  <si>
    <t>Open text: 'Avoid unsolicited health advice' and 'Avoid being negative.' Negative framing explicitly rejected.</t>
  </si>
  <si>
    <t>A06</t>
  </si>
  <si>
    <t>Business Model</t>
  </si>
  <si>
    <t>A freemium model is suitable for the app.</t>
  </si>
  <si>
    <t>Premium features may not justify a subscription.</t>
  </si>
  <si>
    <t>Survey: premium willingness question.</t>
  </si>
  <si>
    <t>01-product-brief.docx</t>
  </si>
  <si>
    <t>6/8 said yes or possibly to premium insights depending on price. Freemium model confirmed.</t>
  </si>
  <si>
    <t>A07</t>
  </si>
  <si>
    <t>Timeline</t>
  </si>
  <si>
    <t>The MVP can be planned, built, tested and prepared by 18 October 2026.</t>
  </si>
  <si>
    <t>The release may slip if scope expands.</t>
  </si>
  <si>
    <t>Review roadmap milestones after each phase.</t>
  </si>
  <si>
    <t>05-roadmap.docx</t>
  </si>
  <si>
    <t>On track. Research complete. 4 new backlog items added (DAA-047 to DAA-050) — minor additions only.</t>
  </si>
  <si>
    <t>A08</t>
  </si>
  <si>
    <t>Data/Privacy</t>
  </si>
  <si>
    <t>Users will be comfortable logging drinks if data collection is minimal.</t>
  </si>
  <si>
    <t>Privacy concerns may reduce adoption.</t>
  </si>
  <si>
    <t>Survey: data comfort question.</t>
  </si>
  <si>
    <t>Core data (logs, venues, spending) comfortable for 7/8. Location acceptable for 5/8. Local-first now Must Have (DAA-050).</t>
  </si>
  <si>
    <t>A09</t>
  </si>
  <si>
    <t>Daily and weekly summaries are enough for the first version.</t>
  </si>
  <si>
    <t>Users may expect longer-term trends or charts.</t>
  </si>
  <si>
    <t>Survey: summary triggers and feature grid.</t>
  </si>
  <si>
    <t>Weekly summary rated useful by 7/8 — highest feature rating overall. Daily summary rated useful by 6/8.</t>
  </si>
  <si>
    <t>A10</t>
  </si>
  <si>
    <t>Technical</t>
  </si>
  <si>
    <t>A cross-platform approach is practical for iOS and Android.</t>
  </si>
  <si>
    <t>Technical complexity may increase if platform-specific features are needed.</t>
  </si>
  <si>
    <t>Assess technical stack during the technical setup phase.</t>
  </si>
  <si>
    <t>Needs Review</t>
  </si>
  <si>
    <t>Not covered by survey. To be confirmed during Technical Setup phase (Phase 4). Stack: React Native / Expo proposed in docs/11-technical-specification.docx.</t>
  </si>
  <si>
    <t>Risk Register</t>
  </si>
  <si>
    <t>Risk</t>
  </si>
  <si>
    <t>Cause</t>
  </si>
  <si>
    <t>Impact</t>
  </si>
  <si>
    <t>Likelihood
(1-5)</t>
  </si>
  <si>
    <t>Impact
(1-5)</t>
  </si>
  <si>
    <t>Risk Score</t>
  </si>
  <si>
    <t>Priority</t>
  </si>
  <si>
    <t>Mitigation</t>
  </si>
  <si>
    <t>Notes</t>
  </si>
  <si>
    <t>R01</t>
  </si>
  <si>
    <t>MVP scope becomes too large.</t>
  </si>
  <si>
    <t>Too many later features are pulled into the first build.</t>
  </si>
  <si>
    <t>Development takes longer than planned; core features not finished.</t>
  </si>
  <si>
    <t>High</t>
  </si>
  <si>
    <t>Open</t>
  </si>
  <si>
    <t>Keep MVP features limited to must-have scope. 4 new items added from research are minor.</t>
  </si>
  <si>
    <t>14 Jun 2026</t>
  </si>
  <si>
    <t>Watch during backlog planning. Scope additions from research are contained.</t>
  </si>
  <si>
    <t>R02</t>
  </si>
  <si>
    <t>Users forget to log drinks.</t>
  </si>
  <si>
    <t>Manual logging may be inconvenient during a social outing.</t>
  </si>
  <si>
    <t>Summaries and insights become incomplete.</t>
  </si>
  <si>
    <t>Medium</t>
  </si>
  <si>
    <t>Quick-select presets (DAA-047) directly address this. Required fields reduced to minimum (DAA-048).</t>
  </si>
  <si>
    <t>Research confirmed this risk. Mitigated by preset feature.</t>
  </si>
  <si>
    <t>R03</t>
  </si>
  <si>
    <t>Venue and menu data is hard to maintain.</t>
  </si>
  <si>
    <t>Live venue data and prices may change often.</t>
  </si>
  <si>
    <t>Data may become inaccurate or outdated.</t>
  </si>
  <si>
    <t>Use sample or limited realistic data for MVP; avoid promising live coverage.</t>
  </si>
  <si>
    <t>Sample data approach confirmed acceptable by research (A03 validated).</t>
  </si>
  <si>
    <t>R04</t>
  </si>
  <si>
    <t>AI insights feel judgemental or generic.</t>
  </si>
  <si>
    <t>Poor wording or weak logic may reduce trust.</t>
  </si>
  <si>
    <t>Users may ignore or dislike the feature.</t>
  </si>
  <si>
    <t>Every insight must explain its data basis (DAA-049). Trust factor rated 7/8 in survey.</t>
  </si>
  <si>
    <t>Research provided specific trust requirements. Mitigated by DAA-049.</t>
  </si>
  <si>
    <t>R05</t>
  </si>
  <si>
    <t>Alcohol-related features are misunderstood as encouraging drinking.</t>
  </si>
  <si>
    <t>Venue discovery, menus or social features may appear promotional.</t>
  </si>
  <si>
    <t>App could conflict with responsible design goals.</t>
  </si>
  <si>
    <t>Avoid leaderboards, gamified consumption and wording that encourages drinking more.</t>
  </si>
  <si>
    <t>Research confirmed: avoid unsolicited health advice and negative framing.</t>
  </si>
  <si>
    <t>R06</t>
  </si>
  <si>
    <t>Privacy concerns reduce user adoption.</t>
  </si>
  <si>
    <t>Users may not want to share location, venue or drinking data.</t>
  </si>
  <si>
    <t>Users may avoid logging real information.</t>
  </si>
  <si>
    <t>Mitigated</t>
  </si>
  <si>
    <t>Local-first, no account required elevated to Must Have (DAA-050). 7/8 comfortable with no account.</t>
  </si>
  <si>
    <t>Research confirmed privacy approach is correct. Risk reduced.</t>
  </si>
  <si>
    <t>R07</t>
  </si>
  <si>
    <t>Map or venue discovery integration is harder than expected.</t>
  </si>
  <si>
    <t>APIs, permissions or platform differences may add complexity.</t>
  </si>
  <si>
    <t>Technical setup and build phases may slip.</t>
  </si>
  <si>
    <t>Start with sample venue data and simple list approach. Map deferred to Polish phase if needed.</t>
  </si>
  <si>
    <t>No change from original. Remains a technical risk to monitor.</t>
  </si>
  <si>
    <t>R08</t>
  </si>
  <si>
    <t>Premium features are not compelling enough.</t>
  </si>
  <si>
    <t>Users may not see value in paying for advanced insights.</t>
  </si>
  <si>
    <t>Freemium model may need revision.</t>
  </si>
  <si>
    <t>Low</t>
  </si>
  <si>
    <t>Monitoring</t>
  </si>
  <si>
    <t>Research shows 6/8 would possibly pay for premium insights. Positive signal.</t>
  </si>
  <si>
    <t>Risk reduced. Survey validates premium interest.</t>
  </si>
  <si>
    <t>R09</t>
  </si>
  <si>
    <t>Research feedback takes longer than expected.</t>
  </si>
  <si>
    <t>Finding participants may be slower than planned.</t>
  </si>
  <si>
    <t>MVP scope and backlog planning may be delayed.</t>
  </si>
  <si>
    <t>8 survey responses collected. Research phase complete as of 18 June 2026.</t>
  </si>
  <si>
    <t>Risk closed. Research complete within Phase 1/2 timeline.</t>
  </si>
  <si>
    <t>R10</t>
  </si>
  <si>
    <t>Cross-platform build choice delays development.</t>
  </si>
  <si>
    <t>Need to select and configure a suitable iOS/Android stack.</t>
  </si>
  <si>
    <t>Core feature build may start late.</t>
  </si>
  <si>
    <t>React Native/Expo proposed in docs/11-technical-specification.docx. Confirm in Phase 4.</t>
  </si>
  <si>
    <t>Stack decision documented. To be implemented in Technical Setup phase.</t>
  </si>
  <si>
    <t>Risk Matrix — Likelihood × Impact</t>
  </si>
  <si>
    <t>Likelihood \ Impact</t>
  </si>
  <si>
    <t>15–25</t>
  </si>
  <si>
    <t>Actively Reduce</t>
  </si>
  <si>
    <t>8–14</t>
  </si>
  <si>
    <t>Monitor and Mitigate</t>
  </si>
  <si>
    <t>1–7</t>
  </si>
  <si>
    <t>Track</t>
  </si>
  <si>
    <t>Risk Status</t>
  </si>
  <si>
    <t>Not Started</t>
  </si>
  <si>
    <t>In Progress</t>
  </si>
  <si>
    <t>TBC</t>
  </si>
  <si>
    <t>Invalidated</t>
  </si>
  <si>
    <t>Closed</t>
  </si>
  <si>
    <t>Accepted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</si>
</sst>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9"/>
      <color rgb="FF7A9BB5"/>
      <name val="Arial"/>
      <charset val="1"/>
    </font>
    <font>
      <b/>
      <sz val="9"/>
      <color rgb="FFFFFFFF"/>
      <name val="Arial"/>
      <charset val="1"/>
    </font>
    <font>
      <b/>
      <sz val="18"/>
      <color rgb="FF1B3A5C"/>
      <name val="Arial"/>
      <charset val="1"/>
    </font>
    <font>
      <b/>
      <sz val="10"/>
      <color rgb="FFFFFFFF"/>
      <name val="Arial"/>
      <charset val="1"/>
    </font>
    <font>
      <sz val="9"/>
      <color rgb="FF1A1A2E"/>
      <name val="Arial"/>
      <charset val="1"/>
    </font>
    <font>
      <b/>
      <sz val="12"/>
      <color rgb="FFFFFFFF"/>
      <name val="Arial"/>
      <charset val="1"/>
    </font>
    <font>
      <b/>
      <sz val="9"/>
      <color rgb="FF1A5C35"/>
      <name val="Arial"/>
      <charset val="1"/>
    </font>
    <font>
      <b/>
      <sz val="9"/>
      <color rgb="FF7A5C00"/>
      <name val="Arial"/>
      <charset val="1"/>
    </font>
    <font>
      <b/>
      <sz val="9"/>
      <color rgb="FF2E6DA4"/>
      <name val="Arial"/>
      <charset val="1"/>
    </font>
    <font>
      <b/>
      <sz val="9"/>
      <color rgb="FF1A1A2E"/>
      <name val="Arial"/>
      <charset val="1"/>
    </font>
    <font>
      <b/>
      <sz val="11"/>
      <color rgb="FF1A5C35"/>
      <name val="Arial"/>
      <charset val="1"/>
    </font>
    <font>
      <b/>
      <sz val="11"/>
      <color rgb="FF7A5C00"/>
      <name val="Arial"/>
      <charset val="1"/>
    </font>
    <font>
      <b/>
      <sz val="11"/>
      <color rgb="FF5C1A1A"/>
      <name val="Arial"/>
      <charset val="1"/>
    </font>
    <font>
      <b/>
      <sz val="9"/>
      <color rgb="FF5C1A1A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B3A5C"/>
        <bgColor rgb="FF333399"/>
      </patternFill>
    </fill>
    <fill>
      <patternFill patternType="solid">
        <fgColor rgb="FFF2F5F8"/>
        <bgColor rgb="FFE6F4EC"/>
      </patternFill>
    </fill>
    <fill>
      <patternFill patternType="solid">
        <fgColor rgb="FFD6E8F7"/>
        <bgColor rgb="FFE6F4EC"/>
      </patternFill>
    </fill>
    <fill>
      <patternFill patternType="solid">
        <fgColor rgb="FFFFFFFF"/>
        <bgColor rgb="FFF2F5F8"/>
      </patternFill>
    </fill>
    <fill>
      <patternFill patternType="solid">
        <fgColor rgb="FFE6F4EC"/>
        <bgColor rgb="FFF2F5F8"/>
      </patternFill>
    </fill>
    <fill>
      <patternFill patternType="solid">
        <fgColor rgb="FFFFF8E1"/>
        <bgColor rgb="FFF2F5F8"/>
      </patternFill>
    </fill>
    <fill>
      <patternFill patternType="solid">
        <fgColor rgb="FF2E6DA4"/>
        <bgColor rgb="FF3366FF"/>
      </patternFill>
    </fill>
    <fill>
      <patternFill patternType="solid">
        <fgColor rgb="FFFAE8E8"/>
        <bgColor rgb="FFF2F5F8"/>
      </patternFill>
    </fill>
  </fills>
  <borders count="2">
    <border>
      <left/>
      <right/>
      <top/>
      <bottom/>
      <diagonal/>
    </border>
    <border>
      <left style="thin">
        <color rgb="FFC5D8EC"/>
      </left>
      <right style="thin">
        <color rgb="FFC5D8EC"/>
      </right>
      <top style="thin">
        <color rgb="FFC5D8EC"/>
      </top>
      <bottom style="thin">
        <color rgb="FFC5D8E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7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3" fillId="2" borderId="0" xfId="0" applyFont="1" applyFill="1"/>
    <xf numFmtId="0" fontId="15" fillId="9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2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6" fillId="5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5C1A1A"/>
      <rgbColor rgb="FF1A5C35"/>
      <rgbColor rgb="FF000080"/>
      <rgbColor rgb="FF7A5C00"/>
      <rgbColor rgb="FF800080"/>
      <rgbColor rgb="FF008080"/>
      <rgbColor rgb="FFC0C0C0"/>
      <rgbColor rgb="FF808080"/>
      <rgbColor rgb="FF9999FF"/>
      <rgbColor rgb="FF993366"/>
      <rgbColor rgb="FFFFF8E1"/>
      <rgbColor rgb="FFE6F4EC"/>
      <rgbColor rgb="FF660066"/>
      <rgbColor rgb="FFFF8080"/>
      <rgbColor rgb="FF2E6DA4"/>
      <rgbColor rgb="FFC5D8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8F7"/>
      <rgbColor rgb="FFF2F5F8"/>
      <rgbColor rgb="FFFAE8E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A9BB5"/>
      <rgbColor rgb="FF1B3A5C"/>
      <rgbColor rgb="FF339966"/>
      <rgbColor rgb="FF003300"/>
      <rgbColor rgb="FF333300"/>
      <rgbColor rgb="FF993300"/>
      <rgbColor rgb="FF993366"/>
      <rgbColor rgb="FF333399"/>
      <rgbColor rgb="FF1A1A2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5C"/>
  </sheetPr>
  <dimension ref="A1:J20"/>
  <sheetViews>
    <sheetView tabSelected="1" zoomScaleNormal="100" workbookViewId="0">
      <pane ySplit="2" topLeftCell="A3" activePane="bottomLeft" state="frozen"/>
      <selection pane="bottomLeft" sqref="A1:J1"/>
    </sheetView>
  </sheetViews>
  <sheetFormatPr defaultColWidth="8.6640625" defaultRowHeight="14.4" x14ac:dyDescent="0.3"/>
  <cols>
    <col min="1" max="1" width="15.33203125" style="25" bestFit="1" customWidth="1"/>
    <col min="2" max="2" width="46.33203125" style="25" bestFit="1" customWidth="1"/>
    <col min="3" max="3" width="9.5546875" style="25" bestFit="1" customWidth="1"/>
    <col min="4" max="4" width="11.21875" style="25" bestFit="1" customWidth="1"/>
    <col min="5" max="5" width="9.21875" style="25" bestFit="1" customWidth="1"/>
    <col min="6" max="6" width="2" style="25" customWidth="1"/>
    <col min="7" max="7" width="9.88671875" style="25" bestFit="1" customWidth="1"/>
    <col min="8" max="8" width="2" style="25" customWidth="1"/>
    <col min="9" max="9" width="8" style="25" bestFit="1" customWidth="1"/>
    <col min="10" max="16384" width="8.6640625" style="25"/>
  </cols>
  <sheetData>
    <row r="1" spans="1:10" ht="16.8" x14ac:dyDescent="0.3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3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</row>
    <row r="4" spans="1:10" x14ac:dyDescent="0.3">
      <c r="A4" s="27" t="s">
        <v>2</v>
      </c>
      <c r="C4" s="27" t="s">
        <v>3</v>
      </c>
      <c r="E4" s="27" t="s">
        <v>4</v>
      </c>
      <c r="G4" s="27" t="s">
        <v>5</v>
      </c>
      <c r="I4" s="27" t="s">
        <v>6</v>
      </c>
    </row>
    <row r="5" spans="1:10" ht="22.8" x14ac:dyDescent="0.3">
      <c r="A5" s="28">
        <f>COUNTA('Assumptions Register'!A3:A100)</f>
        <v>10</v>
      </c>
      <c r="C5" s="28">
        <f>COUNTA('Risk Register'!A3:A100)</f>
        <v>10</v>
      </c>
      <c r="E5" s="28">
        <f>COUNTIF('Risk Register'!I3:I100,"High")</f>
        <v>3</v>
      </c>
      <c r="G5" s="28">
        <f>COUNTIF('Risk Register'!J3:J100,"Open")</f>
        <v>7</v>
      </c>
      <c r="I5" s="28">
        <f>COUNTIF('Assumptions Register'!H3:H100,"Validated")</f>
        <v>9</v>
      </c>
    </row>
    <row r="7" spans="1:10" x14ac:dyDescent="0.3">
      <c r="A7" s="29" t="s">
        <v>7</v>
      </c>
      <c r="B7" s="29" t="s">
        <v>8</v>
      </c>
      <c r="C7" s="29" t="s">
        <v>9</v>
      </c>
      <c r="D7" s="29" t="s">
        <v>10</v>
      </c>
    </row>
    <row r="8" spans="1:10" x14ac:dyDescent="0.3">
      <c r="A8" s="30">
        <v>1</v>
      </c>
      <c r="B8" s="30" t="s">
        <v>11</v>
      </c>
      <c r="C8" s="30" t="s">
        <v>12</v>
      </c>
      <c r="D8" s="30" t="s">
        <v>13</v>
      </c>
    </row>
    <row r="9" spans="1:10" x14ac:dyDescent="0.3">
      <c r="A9" s="31">
        <v>2</v>
      </c>
      <c r="B9" s="31" t="s">
        <v>14</v>
      </c>
      <c r="C9" s="31" t="s">
        <v>12</v>
      </c>
      <c r="D9" s="31" t="s">
        <v>15</v>
      </c>
    </row>
    <row r="10" spans="1:10" x14ac:dyDescent="0.3">
      <c r="A10" s="30">
        <v>3</v>
      </c>
      <c r="B10" s="30" t="s">
        <v>16</v>
      </c>
      <c r="C10" s="30" t="s">
        <v>12</v>
      </c>
      <c r="D10" s="30" t="s">
        <v>17</v>
      </c>
    </row>
    <row r="11" spans="1:10" x14ac:dyDescent="0.3">
      <c r="A11" s="31">
        <v>4</v>
      </c>
      <c r="B11" s="31" t="s">
        <v>18</v>
      </c>
      <c r="C11" s="31" t="s">
        <v>12</v>
      </c>
      <c r="D11" s="31" t="s">
        <v>19</v>
      </c>
    </row>
    <row r="12" spans="1:10" x14ac:dyDescent="0.3">
      <c r="A12" s="30">
        <v>5</v>
      </c>
      <c r="B12" s="30" t="s">
        <v>20</v>
      </c>
      <c r="C12" s="30" t="s">
        <v>12</v>
      </c>
      <c r="D12" s="30" t="s">
        <v>21</v>
      </c>
    </row>
    <row r="15" spans="1:10" x14ac:dyDescent="0.3">
      <c r="A15" s="32" t="s">
        <v>22</v>
      </c>
      <c r="B15" s="32"/>
      <c r="C15" s="32"/>
      <c r="D15" s="32"/>
    </row>
    <row r="16" spans="1:10" x14ac:dyDescent="0.3">
      <c r="A16" s="33" t="s">
        <v>23</v>
      </c>
      <c r="B16" s="33"/>
      <c r="C16" s="33"/>
      <c r="D16" s="33"/>
    </row>
    <row r="17" spans="1:4" x14ac:dyDescent="0.3">
      <c r="A17" s="34" t="s">
        <v>24</v>
      </c>
      <c r="B17" s="34"/>
      <c r="C17" s="34"/>
      <c r="D17" s="34"/>
    </row>
    <row r="18" spans="1:4" x14ac:dyDescent="0.3">
      <c r="A18" s="33" t="s">
        <v>25</v>
      </c>
      <c r="B18" s="33"/>
      <c r="C18" s="33"/>
      <c r="D18" s="33"/>
    </row>
    <row r="19" spans="1:4" x14ac:dyDescent="0.3">
      <c r="A19" s="34" t="s">
        <v>26</v>
      </c>
      <c r="B19" s="34"/>
      <c r="C19" s="34"/>
      <c r="D19" s="34"/>
    </row>
    <row r="20" spans="1:4" x14ac:dyDescent="0.3">
      <c r="A20" s="33" t="s">
        <v>27</v>
      </c>
      <c r="B20" s="33"/>
      <c r="C20" s="33"/>
      <c r="D20" s="33"/>
    </row>
  </sheetData>
  <mergeCells count="8">
    <mergeCell ref="A18:D18"/>
    <mergeCell ref="A19:D19"/>
    <mergeCell ref="A20:D20"/>
    <mergeCell ref="A1:J1"/>
    <mergeCell ref="A2:J2"/>
    <mergeCell ref="A15:D15"/>
    <mergeCell ref="A16:D16"/>
    <mergeCell ref="A17:D1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6DA4"/>
  </sheetPr>
  <dimension ref="A1:J12"/>
  <sheetViews>
    <sheetView zoomScaleNormal="100" workbookViewId="0">
      <pane ySplit="2" topLeftCell="A3" activePane="bottomLeft" state="frozen"/>
      <selection pane="bottomLeft" sqref="A1:J1"/>
    </sheetView>
  </sheetViews>
  <sheetFormatPr defaultColWidth="8.6640625" defaultRowHeight="14.4" x14ac:dyDescent="0.3"/>
  <cols>
    <col min="1" max="1" width="6" customWidth="1"/>
    <col min="2" max="2" width="18" customWidth="1"/>
    <col min="3" max="3" width="38" customWidth="1"/>
    <col min="4" max="5" width="30" customWidth="1"/>
    <col min="6" max="6" width="24" customWidth="1"/>
    <col min="7" max="9" width="14" customWidth="1"/>
    <col min="10" max="10" width="36" customWidth="1"/>
  </cols>
  <sheetData>
    <row r="1" spans="1:10" ht="21.75" customHeight="1" x14ac:dyDescent="0.3">
      <c r="A1" s="1" t="s">
        <v>28</v>
      </c>
      <c r="B1" s="1"/>
      <c r="C1" s="1"/>
      <c r="D1" s="1"/>
      <c r="E1" s="1"/>
      <c r="F1" s="1"/>
      <c r="G1" s="1"/>
      <c r="H1" s="1"/>
      <c r="I1" s="1"/>
      <c r="J1" s="1"/>
    </row>
    <row r="2" spans="1:10" ht="19.5" customHeight="1" x14ac:dyDescent="0.3">
      <c r="A2" s="3" t="s">
        <v>29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  <c r="G2" s="3" t="s">
        <v>35</v>
      </c>
      <c r="H2" s="3" t="s">
        <v>36</v>
      </c>
      <c r="I2" s="3" t="s">
        <v>37</v>
      </c>
      <c r="J2" s="3" t="s">
        <v>38</v>
      </c>
    </row>
    <row r="3" spans="1:10" ht="42" customHeight="1" x14ac:dyDescent="0.3">
      <c r="A3" s="5" t="s">
        <v>39</v>
      </c>
      <c r="B3" s="5" t="s">
        <v>40</v>
      </c>
      <c r="C3" s="5" t="s">
        <v>41</v>
      </c>
      <c r="D3" s="5" t="s">
        <v>42</v>
      </c>
      <c r="E3" s="5" t="s">
        <v>43</v>
      </c>
      <c r="F3" s="5" t="s">
        <v>44</v>
      </c>
      <c r="G3" s="5" t="s">
        <v>45</v>
      </c>
      <c r="H3" s="8" t="s">
        <v>6</v>
      </c>
      <c r="I3" s="5" t="s">
        <v>46</v>
      </c>
      <c r="J3" s="5" t="s">
        <v>47</v>
      </c>
    </row>
    <row r="4" spans="1:10" ht="42" customHeight="1" x14ac:dyDescent="0.3">
      <c r="A4" s="4" t="s">
        <v>48</v>
      </c>
      <c r="B4" s="4" t="s">
        <v>49</v>
      </c>
      <c r="C4" s="4" t="s">
        <v>50</v>
      </c>
      <c r="D4" s="4" t="s">
        <v>51</v>
      </c>
      <c r="E4" s="4" t="s">
        <v>52</v>
      </c>
      <c r="F4" s="4" t="s">
        <v>53</v>
      </c>
      <c r="G4" s="4" t="s">
        <v>45</v>
      </c>
      <c r="H4" s="8" t="s">
        <v>6</v>
      </c>
      <c r="I4" s="4" t="s">
        <v>46</v>
      </c>
      <c r="J4" s="4" t="s">
        <v>54</v>
      </c>
    </row>
    <row r="5" spans="1:10" ht="42" customHeight="1" x14ac:dyDescent="0.3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5" t="s">
        <v>45</v>
      </c>
      <c r="H5" s="8" t="s">
        <v>6</v>
      </c>
      <c r="I5" s="5" t="s">
        <v>46</v>
      </c>
      <c r="J5" s="5" t="s">
        <v>61</v>
      </c>
    </row>
    <row r="6" spans="1:10" ht="42" customHeight="1" x14ac:dyDescent="0.3">
      <c r="A6" s="4" t="s">
        <v>62</v>
      </c>
      <c r="B6" s="4" t="s">
        <v>63</v>
      </c>
      <c r="C6" s="4" t="s">
        <v>64</v>
      </c>
      <c r="D6" s="4" t="s">
        <v>65</v>
      </c>
      <c r="E6" s="4" t="s">
        <v>66</v>
      </c>
      <c r="F6" s="4" t="s">
        <v>44</v>
      </c>
      <c r="G6" s="4" t="s">
        <v>45</v>
      </c>
      <c r="H6" s="8" t="s">
        <v>6</v>
      </c>
      <c r="I6" s="4" t="s">
        <v>46</v>
      </c>
      <c r="J6" s="4" t="s">
        <v>67</v>
      </c>
    </row>
    <row r="7" spans="1:10" ht="42" customHeight="1" x14ac:dyDescent="0.3">
      <c r="A7" s="5" t="s">
        <v>68</v>
      </c>
      <c r="B7" s="5" t="s">
        <v>69</v>
      </c>
      <c r="C7" s="5" t="s">
        <v>70</v>
      </c>
      <c r="D7" s="5" t="s">
        <v>71</v>
      </c>
      <c r="E7" s="5" t="s">
        <v>72</v>
      </c>
      <c r="F7" s="5" t="s">
        <v>44</v>
      </c>
      <c r="G7" s="5" t="s">
        <v>45</v>
      </c>
      <c r="H7" s="8" t="s">
        <v>6</v>
      </c>
      <c r="I7" s="5" t="s">
        <v>46</v>
      </c>
      <c r="J7" s="5" t="s">
        <v>73</v>
      </c>
    </row>
    <row r="8" spans="1:10" ht="42" customHeight="1" x14ac:dyDescent="0.3">
      <c r="A8" s="4" t="s">
        <v>74</v>
      </c>
      <c r="B8" s="4" t="s">
        <v>75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45</v>
      </c>
      <c r="H8" s="8" t="s">
        <v>6</v>
      </c>
      <c r="I8" s="4" t="s">
        <v>46</v>
      </c>
      <c r="J8" s="4" t="s">
        <v>80</v>
      </c>
    </row>
    <row r="9" spans="1:10" ht="42" customHeight="1" x14ac:dyDescent="0.3">
      <c r="A9" s="5" t="s">
        <v>81</v>
      </c>
      <c r="B9" s="5" t="s">
        <v>82</v>
      </c>
      <c r="C9" s="5" t="s">
        <v>83</v>
      </c>
      <c r="D9" s="5" t="s">
        <v>84</v>
      </c>
      <c r="E9" s="5" t="s">
        <v>85</v>
      </c>
      <c r="F9" s="5" t="s">
        <v>86</v>
      </c>
      <c r="G9" s="5" t="s">
        <v>45</v>
      </c>
      <c r="H9" s="8" t="s">
        <v>6</v>
      </c>
      <c r="I9" s="5" t="s">
        <v>46</v>
      </c>
      <c r="J9" s="5" t="s">
        <v>87</v>
      </c>
    </row>
    <row r="10" spans="1:10" ht="42" customHeight="1" x14ac:dyDescent="0.3">
      <c r="A10" s="4" t="s">
        <v>88</v>
      </c>
      <c r="B10" s="4" t="s">
        <v>89</v>
      </c>
      <c r="C10" s="4" t="s">
        <v>90</v>
      </c>
      <c r="D10" s="4" t="s">
        <v>91</v>
      </c>
      <c r="E10" s="4" t="s">
        <v>92</v>
      </c>
      <c r="F10" s="4" t="s">
        <v>44</v>
      </c>
      <c r="G10" s="4" t="s">
        <v>45</v>
      </c>
      <c r="H10" s="8" t="s">
        <v>6</v>
      </c>
      <c r="I10" s="4" t="s">
        <v>46</v>
      </c>
      <c r="J10" s="4" t="s">
        <v>93</v>
      </c>
    </row>
    <row r="11" spans="1:10" ht="42" customHeight="1" x14ac:dyDescent="0.3">
      <c r="A11" s="5" t="s">
        <v>94</v>
      </c>
      <c r="B11" s="5" t="s">
        <v>56</v>
      </c>
      <c r="C11" s="5" t="s">
        <v>95</v>
      </c>
      <c r="D11" s="5" t="s">
        <v>96</v>
      </c>
      <c r="E11" s="5" t="s">
        <v>97</v>
      </c>
      <c r="F11" s="5" t="s">
        <v>60</v>
      </c>
      <c r="G11" s="5" t="s">
        <v>45</v>
      </c>
      <c r="H11" s="8" t="s">
        <v>6</v>
      </c>
      <c r="I11" s="5" t="s">
        <v>46</v>
      </c>
      <c r="J11" s="5" t="s">
        <v>98</v>
      </c>
    </row>
    <row r="12" spans="1:10" ht="42" customHeight="1" x14ac:dyDescent="0.3">
      <c r="A12" s="4" t="s">
        <v>99</v>
      </c>
      <c r="B12" s="4" t="s">
        <v>100</v>
      </c>
      <c r="C12" s="4" t="s">
        <v>101</v>
      </c>
      <c r="D12" s="4" t="s">
        <v>102</v>
      </c>
      <c r="E12" s="4" t="s">
        <v>103</v>
      </c>
      <c r="F12" s="4" t="s">
        <v>86</v>
      </c>
      <c r="G12" s="4" t="s">
        <v>45</v>
      </c>
      <c r="H12" s="9" t="s">
        <v>104</v>
      </c>
      <c r="I12" s="4" t="s">
        <v>15</v>
      </c>
      <c r="J12" s="4" t="s">
        <v>105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C1A1A"/>
  </sheetPr>
  <dimension ref="A1:N12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4" x14ac:dyDescent="0.3"/>
  <cols>
    <col min="1" max="1" width="6" customWidth="1"/>
    <col min="2" max="2" width="16" customWidth="1"/>
    <col min="3" max="3" width="32" customWidth="1"/>
    <col min="4" max="5" width="26" customWidth="1"/>
    <col min="6" max="8" width="8" customWidth="1"/>
    <col min="9" max="9" width="10" customWidth="1"/>
    <col min="10" max="10" width="12" customWidth="1"/>
    <col min="11" max="11" width="30" customWidth="1"/>
    <col min="12" max="13" width="14" customWidth="1"/>
    <col min="14" max="14" width="24" customWidth="1"/>
  </cols>
  <sheetData>
    <row r="1" spans="1:14" ht="21.75" customHeight="1" x14ac:dyDescent="0.3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19.5" customHeight="1" x14ac:dyDescent="0.3">
      <c r="A2" s="3" t="s">
        <v>29</v>
      </c>
      <c r="B2" s="3" t="s">
        <v>30</v>
      </c>
      <c r="C2" s="3" t="s">
        <v>107</v>
      </c>
      <c r="D2" s="3" t="s">
        <v>108</v>
      </c>
      <c r="E2" s="3" t="s">
        <v>109</v>
      </c>
      <c r="F2" s="3" t="s">
        <v>110</v>
      </c>
      <c r="G2" s="3" t="s">
        <v>111</v>
      </c>
      <c r="H2" s="3" t="s">
        <v>112</v>
      </c>
      <c r="I2" s="3" t="s">
        <v>113</v>
      </c>
      <c r="J2" s="3" t="s">
        <v>36</v>
      </c>
      <c r="K2" s="3" t="s">
        <v>114</v>
      </c>
      <c r="L2" s="3" t="s">
        <v>35</v>
      </c>
      <c r="M2" s="3" t="s">
        <v>37</v>
      </c>
      <c r="N2" s="3" t="s">
        <v>115</v>
      </c>
    </row>
    <row r="3" spans="1:14" ht="43.5" customHeight="1" x14ac:dyDescent="0.3">
      <c r="A3" s="5" t="s">
        <v>116</v>
      </c>
      <c r="B3" s="5" t="s">
        <v>56</v>
      </c>
      <c r="C3" s="5" t="s">
        <v>117</v>
      </c>
      <c r="D3" s="5" t="s">
        <v>118</v>
      </c>
      <c r="E3" s="5" t="s">
        <v>119</v>
      </c>
      <c r="F3" s="10">
        <v>4</v>
      </c>
      <c r="G3" s="10">
        <v>4</v>
      </c>
      <c r="H3" s="10">
        <f t="shared" ref="H3:H12" si="0">F3*G3</f>
        <v>16</v>
      </c>
      <c r="I3" s="8" t="s">
        <v>120</v>
      </c>
      <c r="J3" s="9" t="s">
        <v>121</v>
      </c>
      <c r="K3" s="5" t="s">
        <v>122</v>
      </c>
      <c r="L3" s="5" t="s">
        <v>45</v>
      </c>
      <c r="M3" s="5" t="s">
        <v>123</v>
      </c>
      <c r="N3" s="5" t="s">
        <v>124</v>
      </c>
    </row>
    <row r="4" spans="1:14" ht="43.5" customHeight="1" x14ac:dyDescent="0.3">
      <c r="A4" s="4" t="s">
        <v>125</v>
      </c>
      <c r="B4" s="4" t="s">
        <v>40</v>
      </c>
      <c r="C4" s="4" t="s">
        <v>126</v>
      </c>
      <c r="D4" s="4" t="s">
        <v>127</v>
      </c>
      <c r="E4" s="4" t="s">
        <v>128</v>
      </c>
      <c r="F4" s="11">
        <v>4</v>
      </c>
      <c r="G4" s="11">
        <v>3</v>
      </c>
      <c r="H4" s="11">
        <f t="shared" si="0"/>
        <v>12</v>
      </c>
      <c r="I4" s="12" t="s">
        <v>129</v>
      </c>
      <c r="J4" s="9" t="s">
        <v>121</v>
      </c>
      <c r="K4" s="4" t="s">
        <v>130</v>
      </c>
      <c r="L4" s="4" t="s">
        <v>45</v>
      </c>
      <c r="M4" s="4" t="s">
        <v>46</v>
      </c>
      <c r="N4" s="4" t="s">
        <v>131</v>
      </c>
    </row>
    <row r="5" spans="1:14" ht="43.5" customHeight="1" x14ac:dyDescent="0.3">
      <c r="A5" s="5" t="s">
        <v>132</v>
      </c>
      <c r="B5" s="5" t="s">
        <v>49</v>
      </c>
      <c r="C5" s="5" t="s">
        <v>133</v>
      </c>
      <c r="D5" s="5" t="s">
        <v>134</v>
      </c>
      <c r="E5" s="5" t="s">
        <v>135</v>
      </c>
      <c r="F5" s="10">
        <v>4</v>
      </c>
      <c r="G5" s="10">
        <v>4</v>
      </c>
      <c r="H5" s="10">
        <f t="shared" si="0"/>
        <v>16</v>
      </c>
      <c r="I5" s="8" t="s">
        <v>120</v>
      </c>
      <c r="J5" s="9" t="s">
        <v>121</v>
      </c>
      <c r="K5" s="5" t="s">
        <v>136</v>
      </c>
      <c r="L5" s="5" t="s">
        <v>45</v>
      </c>
      <c r="M5" s="5" t="s">
        <v>123</v>
      </c>
      <c r="N5" s="5" t="s">
        <v>137</v>
      </c>
    </row>
    <row r="6" spans="1:14" ht="43.5" customHeight="1" x14ac:dyDescent="0.3">
      <c r="A6" s="4" t="s">
        <v>138</v>
      </c>
      <c r="B6" s="4" t="s">
        <v>63</v>
      </c>
      <c r="C6" s="4" t="s">
        <v>139</v>
      </c>
      <c r="D6" s="4" t="s">
        <v>140</v>
      </c>
      <c r="E6" s="4" t="s">
        <v>141</v>
      </c>
      <c r="F6" s="11">
        <v>3</v>
      </c>
      <c r="G6" s="11">
        <v>4</v>
      </c>
      <c r="H6" s="11">
        <f t="shared" si="0"/>
        <v>12</v>
      </c>
      <c r="I6" s="12" t="s">
        <v>129</v>
      </c>
      <c r="J6" s="9" t="s">
        <v>121</v>
      </c>
      <c r="K6" s="4" t="s">
        <v>142</v>
      </c>
      <c r="L6" s="4" t="s">
        <v>45</v>
      </c>
      <c r="M6" s="4" t="s">
        <v>46</v>
      </c>
      <c r="N6" s="4" t="s">
        <v>143</v>
      </c>
    </row>
    <row r="7" spans="1:14" ht="43.5" customHeight="1" x14ac:dyDescent="0.3">
      <c r="A7" s="5" t="s">
        <v>144</v>
      </c>
      <c r="B7" s="5" t="s">
        <v>69</v>
      </c>
      <c r="C7" s="5" t="s">
        <v>145</v>
      </c>
      <c r="D7" s="5" t="s">
        <v>146</v>
      </c>
      <c r="E7" s="5" t="s">
        <v>147</v>
      </c>
      <c r="F7" s="10">
        <v>3</v>
      </c>
      <c r="G7" s="10">
        <v>5</v>
      </c>
      <c r="H7" s="10">
        <f t="shared" si="0"/>
        <v>15</v>
      </c>
      <c r="I7" s="8" t="s">
        <v>120</v>
      </c>
      <c r="J7" s="9" t="s">
        <v>121</v>
      </c>
      <c r="K7" s="5" t="s">
        <v>148</v>
      </c>
      <c r="L7" s="5" t="s">
        <v>45</v>
      </c>
      <c r="M7" s="5" t="s">
        <v>19</v>
      </c>
      <c r="N7" s="5" t="s">
        <v>149</v>
      </c>
    </row>
    <row r="8" spans="1:14" ht="43.5" customHeight="1" x14ac:dyDescent="0.3">
      <c r="A8" s="4" t="s">
        <v>150</v>
      </c>
      <c r="B8" s="4" t="s">
        <v>89</v>
      </c>
      <c r="C8" s="4" t="s">
        <v>151</v>
      </c>
      <c r="D8" s="4" t="s">
        <v>152</v>
      </c>
      <c r="E8" s="4" t="s">
        <v>153</v>
      </c>
      <c r="F8" s="11">
        <v>2</v>
      </c>
      <c r="G8" s="11">
        <v>4</v>
      </c>
      <c r="H8" s="11">
        <f t="shared" si="0"/>
        <v>8</v>
      </c>
      <c r="I8" s="12" t="s">
        <v>129</v>
      </c>
      <c r="J8" s="13" t="s">
        <v>154</v>
      </c>
      <c r="K8" s="4" t="s">
        <v>155</v>
      </c>
      <c r="L8" s="4" t="s">
        <v>45</v>
      </c>
      <c r="M8" s="4" t="s">
        <v>46</v>
      </c>
      <c r="N8" s="4" t="s">
        <v>156</v>
      </c>
    </row>
    <row r="9" spans="1:14" ht="43.5" customHeight="1" x14ac:dyDescent="0.3">
      <c r="A9" s="5" t="s">
        <v>157</v>
      </c>
      <c r="B9" s="5" t="s">
        <v>100</v>
      </c>
      <c r="C9" s="5" t="s">
        <v>158</v>
      </c>
      <c r="D9" s="5" t="s">
        <v>159</v>
      </c>
      <c r="E9" s="5" t="s">
        <v>160</v>
      </c>
      <c r="F9" s="10">
        <v>3</v>
      </c>
      <c r="G9" s="10">
        <v>4</v>
      </c>
      <c r="H9" s="10">
        <f t="shared" si="0"/>
        <v>12</v>
      </c>
      <c r="I9" s="12" t="s">
        <v>129</v>
      </c>
      <c r="J9" s="9" t="s">
        <v>121</v>
      </c>
      <c r="K9" s="5" t="s">
        <v>161</v>
      </c>
      <c r="L9" s="5" t="s">
        <v>45</v>
      </c>
      <c r="M9" s="5" t="s">
        <v>15</v>
      </c>
      <c r="N9" s="5" t="s">
        <v>162</v>
      </c>
    </row>
    <row r="10" spans="1:14" ht="43.5" customHeight="1" x14ac:dyDescent="0.3">
      <c r="A10" s="4" t="s">
        <v>163</v>
      </c>
      <c r="B10" s="4" t="s">
        <v>75</v>
      </c>
      <c r="C10" s="4" t="s">
        <v>164</v>
      </c>
      <c r="D10" s="4" t="s">
        <v>165</v>
      </c>
      <c r="E10" s="4" t="s">
        <v>166</v>
      </c>
      <c r="F10" s="11">
        <v>2</v>
      </c>
      <c r="G10" s="11">
        <v>3</v>
      </c>
      <c r="H10" s="11">
        <f t="shared" si="0"/>
        <v>6</v>
      </c>
      <c r="I10" s="9" t="s">
        <v>167</v>
      </c>
      <c r="J10" s="12" t="s">
        <v>168</v>
      </c>
      <c r="K10" s="4" t="s">
        <v>169</v>
      </c>
      <c r="L10" s="4" t="s">
        <v>45</v>
      </c>
      <c r="M10" s="4" t="s">
        <v>46</v>
      </c>
      <c r="N10" s="4" t="s">
        <v>170</v>
      </c>
    </row>
    <row r="11" spans="1:14" ht="43.5" customHeight="1" x14ac:dyDescent="0.3">
      <c r="A11" s="5" t="s">
        <v>171</v>
      </c>
      <c r="B11" s="5" t="s">
        <v>82</v>
      </c>
      <c r="C11" s="5" t="s">
        <v>172</v>
      </c>
      <c r="D11" s="5" t="s">
        <v>173</v>
      </c>
      <c r="E11" s="5" t="s">
        <v>174</v>
      </c>
      <c r="F11" s="10">
        <v>1</v>
      </c>
      <c r="G11" s="10">
        <v>3</v>
      </c>
      <c r="H11" s="10">
        <f t="shared" si="0"/>
        <v>3</v>
      </c>
      <c r="I11" s="9" t="s">
        <v>167</v>
      </c>
      <c r="J11" s="13" t="s">
        <v>154</v>
      </c>
      <c r="K11" s="5" t="s">
        <v>175</v>
      </c>
      <c r="L11" s="5" t="s">
        <v>45</v>
      </c>
      <c r="M11" s="5" t="s">
        <v>46</v>
      </c>
      <c r="N11" s="5" t="s">
        <v>176</v>
      </c>
    </row>
    <row r="12" spans="1:14" ht="43.5" customHeight="1" x14ac:dyDescent="0.3">
      <c r="A12" s="4" t="s">
        <v>177</v>
      </c>
      <c r="B12" s="4" t="s">
        <v>100</v>
      </c>
      <c r="C12" s="4" t="s">
        <v>178</v>
      </c>
      <c r="D12" s="4" t="s">
        <v>179</v>
      </c>
      <c r="E12" s="4" t="s">
        <v>180</v>
      </c>
      <c r="F12" s="11">
        <v>2</v>
      </c>
      <c r="G12" s="11">
        <v>4</v>
      </c>
      <c r="H12" s="11">
        <f t="shared" si="0"/>
        <v>8</v>
      </c>
      <c r="I12" s="12" t="s">
        <v>129</v>
      </c>
      <c r="J12" s="9" t="s">
        <v>121</v>
      </c>
      <c r="K12" s="4" t="s">
        <v>181</v>
      </c>
      <c r="L12" s="4" t="s">
        <v>45</v>
      </c>
      <c r="M12" s="4" t="s">
        <v>15</v>
      </c>
      <c r="N12" s="4" t="s">
        <v>182</v>
      </c>
    </row>
  </sheetData>
  <mergeCells count="1"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A5C00"/>
  </sheetPr>
  <dimension ref="A1:G12"/>
  <sheetViews>
    <sheetView zoomScaleNormal="100" workbookViewId="0"/>
  </sheetViews>
  <sheetFormatPr defaultColWidth="8.6640625" defaultRowHeight="14.4" x14ac:dyDescent="0.3"/>
  <cols>
    <col min="1" max="1" width="20" customWidth="1"/>
    <col min="2" max="7" width="10" customWidth="1"/>
  </cols>
  <sheetData>
    <row r="1" spans="1:7" ht="21.75" customHeight="1" x14ac:dyDescent="0.3">
      <c r="A1" s="1" t="s">
        <v>183</v>
      </c>
      <c r="B1" s="1"/>
      <c r="C1" s="1"/>
      <c r="D1" s="1"/>
      <c r="E1" s="1"/>
      <c r="F1" s="1"/>
      <c r="G1" s="1"/>
    </row>
    <row r="2" spans="1:7" x14ac:dyDescent="0.3">
      <c r="A2" s="2" t="s">
        <v>184</v>
      </c>
      <c r="B2" s="14">
        <v>1</v>
      </c>
      <c r="C2" s="14">
        <v>2</v>
      </c>
      <c r="D2" s="14">
        <v>3</v>
      </c>
      <c r="E2" s="14">
        <v>4</v>
      </c>
      <c r="F2" s="14">
        <v>5</v>
      </c>
    </row>
    <row r="3" spans="1:7" x14ac:dyDescent="0.3">
      <c r="A3" s="14">
        <v>1</v>
      </c>
      <c r="B3" s="15">
        <v>1</v>
      </c>
      <c r="C3" s="15">
        <v>2</v>
      </c>
      <c r="D3" s="15">
        <v>3</v>
      </c>
      <c r="E3" s="15">
        <v>4</v>
      </c>
      <c r="F3" s="15">
        <v>5</v>
      </c>
    </row>
    <row r="4" spans="1:7" x14ac:dyDescent="0.3">
      <c r="A4" s="14">
        <v>2</v>
      </c>
      <c r="B4" s="15">
        <v>2</v>
      </c>
      <c r="C4" s="15">
        <v>4</v>
      </c>
      <c r="D4" s="15">
        <v>6</v>
      </c>
      <c r="E4" s="16">
        <v>8</v>
      </c>
      <c r="F4" s="16">
        <v>10</v>
      </c>
    </row>
    <row r="5" spans="1:7" x14ac:dyDescent="0.3">
      <c r="A5" s="14">
        <v>3</v>
      </c>
      <c r="B5" s="15">
        <v>3</v>
      </c>
      <c r="C5" s="15">
        <v>6</v>
      </c>
      <c r="D5" s="16">
        <v>9</v>
      </c>
      <c r="E5" s="16">
        <v>12</v>
      </c>
      <c r="F5" s="17">
        <v>15</v>
      </c>
    </row>
    <row r="6" spans="1:7" x14ac:dyDescent="0.3">
      <c r="A6" s="14">
        <v>4</v>
      </c>
      <c r="B6" s="15">
        <v>4</v>
      </c>
      <c r="C6" s="16">
        <v>8</v>
      </c>
      <c r="D6" s="16">
        <v>12</v>
      </c>
      <c r="E6" s="17">
        <v>16</v>
      </c>
      <c r="F6" s="17">
        <v>20</v>
      </c>
    </row>
    <row r="7" spans="1:7" x14ac:dyDescent="0.3">
      <c r="A7" s="14">
        <v>5</v>
      </c>
      <c r="B7" s="15">
        <v>5</v>
      </c>
      <c r="C7" s="16">
        <v>10</v>
      </c>
      <c r="D7" s="17">
        <v>15</v>
      </c>
      <c r="E7" s="17">
        <v>20</v>
      </c>
      <c r="F7" s="17">
        <v>25</v>
      </c>
    </row>
    <row r="9" spans="1:7" x14ac:dyDescent="0.3">
      <c r="A9" s="18" t="s">
        <v>113</v>
      </c>
    </row>
    <row r="10" spans="1:7" ht="22.8" x14ac:dyDescent="0.3">
      <c r="A10" s="19" t="s">
        <v>120</v>
      </c>
      <c r="B10" s="20" t="s">
        <v>185</v>
      </c>
      <c r="C10" s="20" t="s">
        <v>186</v>
      </c>
    </row>
    <row r="11" spans="1:7" ht="22.8" x14ac:dyDescent="0.3">
      <c r="A11" s="9" t="s">
        <v>129</v>
      </c>
      <c r="B11" s="21" t="s">
        <v>187</v>
      </c>
      <c r="C11" s="21" t="s">
        <v>188</v>
      </c>
    </row>
    <row r="12" spans="1:7" x14ac:dyDescent="0.3">
      <c r="A12" s="8" t="s">
        <v>167</v>
      </c>
      <c r="B12" s="22" t="s">
        <v>189</v>
      </c>
      <c r="C12" s="22" t="s">
        <v>190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A9BB5"/>
  </sheetPr>
  <dimension ref="A1:D10"/>
  <sheetViews>
    <sheetView zoomScaleNormal="100" workbookViewId="0"/>
  </sheetViews>
  <sheetFormatPr defaultColWidth="8.6640625" defaultRowHeight="14.4" x14ac:dyDescent="0.3"/>
  <cols>
    <col min="1" max="1" width="16" customWidth="1"/>
    <col min="2" max="2" width="14" customWidth="1"/>
    <col min="3" max="3" width="22" customWidth="1"/>
    <col min="4" max="4" width="14" customWidth="1"/>
  </cols>
  <sheetData>
    <row r="1" spans="1:4" x14ac:dyDescent="0.3">
      <c r="A1" s="23" t="s">
        <v>36</v>
      </c>
      <c r="B1" s="23" t="s">
        <v>191</v>
      </c>
      <c r="C1" s="23" t="s">
        <v>30</v>
      </c>
      <c r="D1" s="23" t="s">
        <v>35</v>
      </c>
    </row>
    <row r="2" spans="1:4" x14ac:dyDescent="0.3">
      <c r="A2" s="6" t="s">
        <v>192</v>
      </c>
      <c r="B2" s="6" t="s">
        <v>121</v>
      </c>
      <c r="C2" s="6" t="s">
        <v>40</v>
      </c>
      <c r="D2" s="6" t="s">
        <v>45</v>
      </c>
    </row>
    <row r="3" spans="1:4" x14ac:dyDescent="0.3">
      <c r="A3" s="7" t="s">
        <v>193</v>
      </c>
      <c r="B3" s="7" t="s">
        <v>168</v>
      </c>
      <c r="C3" s="7" t="s">
        <v>56</v>
      </c>
      <c r="D3" s="7" t="s">
        <v>194</v>
      </c>
    </row>
    <row r="4" spans="1:4" x14ac:dyDescent="0.3">
      <c r="A4" s="6" t="s">
        <v>6</v>
      </c>
      <c r="B4" s="6" t="s">
        <v>154</v>
      </c>
      <c r="C4" s="6" t="s">
        <v>100</v>
      </c>
    </row>
    <row r="5" spans="1:4" x14ac:dyDescent="0.3">
      <c r="A5" s="7" t="s">
        <v>195</v>
      </c>
      <c r="B5" s="7" t="s">
        <v>196</v>
      </c>
      <c r="C5" s="7" t="s">
        <v>89</v>
      </c>
    </row>
    <row r="6" spans="1:4" x14ac:dyDescent="0.3">
      <c r="A6" s="6" t="s">
        <v>104</v>
      </c>
      <c r="B6" s="6" t="s">
        <v>197</v>
      </c>
      <c r="C6" s="6" t="s">
        <v>69</v>
      </c>
    </row>
    <row r="7" spans="1:4" x14ac:dyDescent="0.3">
      <c r="C7" s="7" t="s">
        <v>75</v>
      </c>
    </row>
    <row r="8" spans="1:4" x14ac:dyDescent="0.3">
      <c r="C8" s="6" t="s">
        <v>82</v>
      </c>
    </row>
    <row r="9" spans="1:4" x14ac:dyDescent="0.3">
      <c r="C9" s="7" t="s">
        <v>49</v>
      </c>
    </row>
    <row r="10" spans="1:4" x14ac:dyDescent="0.3">
      <c r="C10" s="6" t="s">
        <v>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Assumptions Register</vt:lpstr>
      <vt:lpstr>Risk Register</vt:lpstr>
      <vt:lpstr>Risk Matrix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Matthew Reid</cp:lastModifiedBy>
  <cp:revision>0</cp:revision>
  <dcterms:created xsi:type="dcterms:W3CDTF">2026-06-18T19:04:39Z</dcterms:created>
  <dcterms:modified xsi:type="dcterms:W3CDTF">2026-06-18T19:08:39Z</dcterms:modified>
  <dc:language>en-US</dc:language>
</cp:coreProperties>
</file>